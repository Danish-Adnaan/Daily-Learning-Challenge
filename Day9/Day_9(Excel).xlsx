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s\OneDrive\Desktop\Learning_Challenge\PowerBI_or_Excel\"/>
    </mc:Choice>
  </mc:AlternateContent>
  <xr:revisionPtr revIDLastSave="0" documentId="13_ncr:1_{7CD3BF08-A4FC-427F-9BA2-D22049BE5FC2}" xr6:coauthVersionLast="47" xr6:coauthVersionMax="47" xr10:uidLastSave="{00000000-0000-0000-0000-000000000000}"/>
  <bookViews>
    <workbookView xWindow="-108" yWindow="-108" windowWidth="23256" windowHeight="12456" xr2:uid="{9E92C6C1-516F-4341-A7B9-FEF35D47AE6D}"/>
  </bookViews>
  <sheets>
    <sheet name="API_Data" sheetId="2" r:id="rId1"/>
    <sheet name="Sheet1" sheetId="1" r:id="rId2"/>
  </sheets>
  <definedNames>
    <definedName name="ExternalData_1" localSheetId="0" hidden="1">API_Data!$A$1:$B$172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" i="1" l="1"/>
  <c r="D10" i="1"/>
  <c r="D13" i="1"/>
  <c r="D12" i="1" a="1"/>
  <c r="D12" i="1" s="1"/>
  <c r="F3" i="1"/>
  <c r="F4" i="1"/>
  <c r="F5" i="1"/>
  <c r="F6" i="1"/>
  <c r="E3" i="1"/>
  <c r="E4" i="1"/>
  <c r="E5" i="1"/>
  <c r="E6" i="1"/>
  <c r="E2" i="1"/>
  <c r="D3" i="1"/>
  <c r="D4" i="1"/>
  <c r="D5" i="1"/>
  <c r="D6" i="1"/>
  <c r="D2" i="1"/>
  <c r="D11" i="1" s="1" a="1"/>
  <c r="D11" i="1" s="1"/>
  <c r="C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58CC86C-0575-440A-B422-8BD6E0465F11}" keepAlive="1" name="Query - latest?base=USD&amp;access_key=98bcfc113a4cc88197d6258c2cbd86be" description="Connection to the 'latest?base=USD&amp;access_key=98bcfc113a4cc88197d6258c2cbd86be' query in the workbook." type="5" refreshedVersion="8" background="1" saveData="1">
    <dbPr connection="Provider=Microsoft.Mashup.OleDb.1;Data Source=$Workbook$;Location=&quot;latest?base=USD&amp;access_key=98bcfc113a4cc88197d6258c2cbd86be&quot;;Extended Properties=&quot;&quot;" command="SELECT * FROM [latest?base=USD&amp;access_key=98bcfc113a4cc88197d6258c2cbd86be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<sst xmlns="http://schemas.openxmlformats.org/spreadsheetml/2006/main" count="197" uniqueCount="197">
  <si>
    <t>USDAED</t>
  </si>
  <si>
    <t>USDAFN</t>
  </si>
  <si>
    <t>USDALL</t>
  </si>
  <si>
    <t>USDAMD</t>
  </si>
  <si>
    <t>USDANG</t>
  </si>
  <si>
    <t>USDAOA</t>
  </si>
  <si>
    <t>USDARS</t>
  </si>
  <si>
    <t>USDAUD</t>
  </si>
  <si>
    <t>USDAWG</t>
  </si>
  <si>
    <t>USDAZN</t>
  </si>
  <si>
    <t>USDBAM</t>
  </si>
  <si>
    <t>USDBBD</t>
  </si>
  <si>
    <t>USDBDT</t>
  </si>
  <si>
    <t>USDBGN</t>
  </si>
  <si>
    <t>USDBHD</t>
  </si>
  <si>
    <t>USDBIF</t>
  </si>
  <si>
    <t>USDBMD</t>
  </si>
  <si>
    <t>USDBND</t>
  </si>
  <si>
    <t>USDBOB</t>
  </si>
  <si>
    <t>USDBRL</t>
  </si>
  <si>
    <t>USDBSD</t>
  </si>
  <si>
    <t>USDBTC</t>
  </si>
  <si>
    <t>USDBTN</t>
  </si>
  <si>
    <t>USDBWP</t>
  </si>
  <si>
    <t>USDBYN</t>
  </si>
  <si>
    <t>USDBYR</t>
  </si>
  <si>
    <t>USDBZD</t>
  </si>
  <si>
    <t>USDCAD</t>
  </si>
  <si>
    <t>USDCDF</t>
  </si>
  <si>
    <t>USDCHF</t>
  </si>
  <si>
    <t>USDCLF</t>
  </si>
  <si>
    <t>USDCLP</t>
  </si>
  <si>
    <t>USDCNY</t>
  </si>
  <si>
    <t>USDCNH</t>
  </si>
  <si>
    <t>USDCOP</t>
  </si>
  <si>
    <t>USDCRC</t>
  </si>
  <si>
    <t>USDCUC</t>
  </si>
  <si>
    <t>USDCUP</t>
  </si>
  <si>
    <t>USDCVE</t>
  </si>
  <si>
    <t>USDCZK</t>
  </si>
  <si>
    <t>USDDJF</t>
  </si>
  <si>
    <t>USDDKK</t>
  </si>
  <si>
    <t>USDDOP</t>
  </si>
  <si>
    <t>USDDZD</t>
  </si>
  <si>
    <t>USDEGP</t>
  </si>
  <si>
    <t>USDERN</t>
  </si>
  <si>
    <t>USDETB</t>
  </si>
  <si>
    <t>USDEUR</t>
  </si>
  <si>
    <t>USDFJD</t>
  </si>
  <si>
    <t>USDFKP</t>
  </si>
  <si>
    <t>USDGBP</t>
  </si>
  <si>
    <t>USDGEL</t>
  </si>
  <si>
    <t>USDGGP</t>
  </si>
  <si>
    <t>USDGHS</t>
  </si>
  <si>
    <t>USDGIP</t>
  </si>
  <si>
    <t>USDGMD</t>
  </si>
  <si>
    <t>USDGNF</t>
  </si>
  <si>
    <t>USDGTQ</t>
  </si>
  <si>
    <t>USDGYD</t>
  </si>
  <si>
    <t>USDHKD</t>
  </si>
  <si>
    <t>USDHNL</t>
  </si>
  <si>
    <t>USDHRK</t>
  </si>
  <si>
    <t>USDHTG</t>
  </si>
  <si>
    <t>USDHUF</t>
  </si>
  <si>
    <t>USDIDR</t>
  </si>
  <si>
    <t>USDILS</t>
  </si>
  <si>
    <t>USDIMP</t>
  </si>
  <si>
    <t>USDINR</t>
  </si>
  <si>
    <t>USDIQD</t>
  </si>
  <si>
    <t>USDIRR</t>
  </si>
  <si>
    <t>USDISK</t>
  </si>
  <si>
    <t>USDJEP</t>
  </si>
  <si>
    <t>USDJMD</t>
  </si>
  <si>
    <t>USDJOD</t>
  </si>
  <si>
    <t>USDJPY</t>
  </si>
  <si>
    <t>USDKES</t>
  </si>
  <si>
    <t>USDKGS</t>
  </si>
  <si>
    <t>USDKHR</t>
  </si>
  <si>
    <t>USDKMF</t>
  </si>
  <si>
    <t>USDKPW</t>
  </si>
  <si>
    <t>USDKRW</t>
  </si>
  <si>
    <t>USDKWD</t>
  </si>
  <si>
    <t>USDKYD</t>
  </si>
  <si>
    <t>USDKZT</t>
  </si>
  <si>
    <t>USDLAK</t>
  </si>
  <si>
    <t>USDLBP</t>
  </si>
  <si>
    <t>USDLKR</t>
  </si>
  <si>
    <t>USDLRD</t>
  </si>
  <si>
    <t>USDLSL</t>
  </si>
  <si>
    <t>USDLTL</t>
  </si>
  <si>
    <t>USDLVL</t>
  </si>
  <si>
    <t>USDLYD</t>
  </si>
  <si>
    <t>USDMAD</t>
  </si>
  <si>
    <t>USDMDL</t>
  </si>
  <si>
    <t>USDMGA</t>
  </si>
  <si>
    <t>USDMKD</t>
  </si>
  <si>
    <t>USDMMK</t>
  </si>
  <si>
    <t>USDMNT</t>
  </si>
  <si>
    <t>USDMOP</t>
  </si>
  <si>
    <t>USDMRU</t>
  </si>
  <si>
    <t>USDMUR</t>
  </si>
  <si>
    <t>USDMVR</t>
  </si>
  <si>
    <t>USDMWK</t>
  </si>
  <si>
    <t>USDMXN</t>
  </si>
  <si>
    <t>USDMYR</t>
  </si>
  <si>
    <t>USDMZN</t>
  </si>
  <si>
    <t>USDNAD</t>
  </si>
  <si>
    <t>USDNGN</t>
  </si>
  <si>
    <t>USDNIO</t>
  </si>
  <si>
    <t>USDNOK</t>
  </si>
  <si>
    <t>USDNPR</t>
  </si>
  <si>
    <t>USDNZD</t>
  </si>
  <si>
    <t>USDOMR</t>
  </si>
  <si>
    <t>USDPAB</t>
  </si>
  <si>
    <t>USDPEN</t>
  </si>
  <si>
    <t>USDPGK</t>
  </si>
  <si>
    <t>USDPHP</t>
  </si>
  <si>
    <t>USDPKR</t>
  </si>
  <si>
    <t>USDPLN</t>
  </si>
  <si>
    <t>USDPYG</t>
  </si>
  <si>
    <t>USDQAR</t>
  </si>
  <si>
    <t>USDRON</t>
  </si>
  <si>
    <t>USDRSD</t>
  </si>
  <si>
    <t>USDRUB</t>
  </si>
  <si>
    <t>USDRWF</t>
  </si>
  <si>
    <t>USDSAR</t>
  </si>
  <si>
    <t>USDSBD</t>
  </si>
  <si>
    <t>USDSCR</t>
  </si>
  <si>
    <t>USDSDG</t>
  </si>
  <si>
    <t>USDSEK</t>
  </si>
  <si>
    <t>USDSGD</t>
  </si>
  <si>
    <t>USDSHP</t>
  </si>
  <si>
    <t>USDSLE</t>
  </si>
  <si>
    <t>USDSLL</t>
  </si>
  <si>
    <t>USDSOS</t>
  </si>
  <si>
    <t>USDSRD</t>
  </si>
  <si>
    <t>USDSTD</t>
  </si>
  <si>
    <t>USDSTN</t>
  </si>
  <si>
    <t>USDSVC</t>
  </si>
  <si>
    <t>USDSYP</t>
  </si>
  <si>
    <t>USDSZL</t>
  </si>
  <si>
    <t>USDTHB</t>
  </si>
  <si>
    <t>USDTJS</t>
  </si>
  <si>
    <t>USDTMT</t>
  </si>
  <si>
    <t>USDTND</t>
  </si>
  <si>
    <t>USDTOP</t>
  </si>
  <si>
    <t>USDTRY</t>
  </si>
  <si>
    <t>USDTTD</t>
  </si>
  <si>
    <t>USDTWD</t>
  </si>
  <si>
    <t>USDTZS</t>
  </si>
  <si>
    <t>USDUAH</t>
  </si>
  <si>
    <t>USDUGX</t>
  </si>
  <si>
    <t>USDUYU</t>
  </si>
  <si>
    <t>USDUZS</t>
  </si>
  <si>
    <t>USDVES</t>
  </si>
  <si>
    <t>USDVND</t>
  </si>
  <si>
    <t>USDVUV</t>
  </si>
  <si>
    <t>USDWST</t>
  </si>
  <si>
    <t>USDXAF</t>
  </si>
  <si>
    <t>USDXAG</t>
  </si>
  <si>
    <t>USDXAU</t>
  </si>
  <si>
    <t>USDXCD</t>
  </si>
  <si>
    <t>USDXCG</t>
  </si>
  <si>
    <t>USDXDR</t>
  </si>
  <si>
    <t>USDXOF</t>
  </si>
  <si>
    <t>USDXPF</t>
  </si>
  <si>
    <t>USDYER</t>
  </si>
  <si>
    <t>USDZAR</t>
  </si>
  <si>
    <t>USDZMK</t>
  </si>
  <si>
    <t>USDZMW</t>
  </si>
  <si>
    <t>USDZWL</t>
  </si>
  <si>
    <t>CurrencyCode</t>
  </si>
  <si>
    <t>RateToUSD</t>
  </si>
  <si>
    <t>InvoiceID</t>
  </si>
  <si>
    <t>Customer</t>
  </si>
  <si>
    <t>Amount_USD</t>
  </si>
  <si>
    <t>I001</t>
  </si>
  <si>
    <t>Asha</t>
  </si>
  <si>
    <t>I002</t>
  </si>
  <si>
    <t>Rohit</t>
  </si>
  <si>
    <t>I003</t>
  </si>
  <si>
    <t>Lakshmi</t>
  </si>
  <si>
    <t>I004</t>
  </si>
  <si>
    <t>Imran</t>
  </si>
  <si>
    <t>I005</t>
  </si>
  <si>
    <t>Neha</t>
  </si>
  <si>
    <t>INR</t>
  </si>
  <si>
    <t>Target Currency</t>
  </si>
  <si>
    <t>Amount_TargetCurrency</t>
  </si>
  <si>
    <t>Using Index and Match</t>
  </si>
  <si>
    <t>High_value_Invoices</t>
  </si>
  <si>
    <t>COUNT(IF((C2:C6&gt;1500)+(D2:D6&gt;100000),1))</t>
  </si>
  <si>
    <t>COUNTA(FILTER(C2:C6, (C2:C6&gt;1500) + (D2:D6&gt;100000)))</t>
  </si>
  <si>
    <t>COUNTIFS(C2:C6,"&gt;1500") + COUNTIFS(D2:D6,"&gt;100000") - COUNTIFS(C2:C6,"&gt;1500",D2:D6,"&gt;100000")</t>
  </si>
  <si>
    <t>INDEX(B2:B6,MATCH(MAX(C2:C6),C2:C6,0))</t>
  </si>
  <si>
    <t>Formulas</t>
  </si>
  <si>
    <t>IF(C2&gt;=MEDIAN(C2:C6),"HighValue","Normal")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</si>
</sst>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7" tint="-0.499984740745262"/>
      <name val="Calibri"/>
      <family val="2"/>
      <scheme val="minor"/>
    </font>
    <font>
      <sz val="11"/>
      <color rgb="FF00206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1" fillId="0" borderId="0" xfId="0" applyFont="1"/>
    <xf numFmtId="0" fontId="2" fillId="6" borderId="0" xfId="0" applyFont="1" applyFill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2495B76-DF3D-460E-B15D-B3B874709739}" autoFormatId="16" applyNumberFormats="0" applyBorderFormats="0" applyFontFormats="0" applyPatternFormats="0" applyAlignmentFormats="0" applyWidthHeightFormats="0">
  <queryTableRefresh nextId="4" unboundColumnsRight="1">
    <queryTableFields count="3">
      <queryTableField id="1" name="Name" tableColumnId="1"/>
      <queryTableField id="2" name="Value" tableColumnId="2"/>
      <queryTableField id="3" dataBound="0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86F538F-1DC6-4331-9D48-D60B735E9F9C}" name="latest?base_USD_access_key_98bcfc113a4cc88197d6258c2cbd86be" displayName="latest?base_USD_access_key_98bcfc113a4cc88197d6258c2cbd86be" ref="A1:C172" tableType="queryTable" totalsRowShown="0">
  <autoFilter ref="A1:C172" xr:uid="{C86F538F-1DC6-4331-9D48-D60B735E9F9C}"/>
  <tableColumns count="3">
    <tableColumn id="1" xr3:uid="{92DE8FE9-72DE-4468-8A32-B82179389D3D}" uniqueName="1" name="CurrencyCode" queryTableFieldId="1"/>
    <tableColumn id="2" xr3:uid="{C0309DCC-3E22-40CB-912C-4EE8A53B8C60}" uniqueName="2" name="RateToUSD" queryTableFieldId="2"/>
    <tableColumn id="3" xr3:uid="{5FE24FAD-033D-425F-80BF-67FC88F76F8B}" uniqueName="3" name="Target Currency" queryTableFieldId="3" dataDxfId="0">
      <calculatedColumnFormula>RIGHT(latest?base_USD_access_key_98bcfc113a4cc88197d6258c2cbd86be[[#This Row],[CurrencyCode]],3)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B92FF-3074-41D8-9395-C42393762BDA}">
  <dimension ref="A1:C172"/>
  <sheetViews>
    <sheetView tabSelected="1" workbookViewId="0">
      <selection activeCell="B5" sqref="B5"/>
    </sheetView>
  </sheetViews>
  <sheetFormatPr defaultRowHeight="14.4" x14ac:dyDescent="0.3"/>
  <cols>
    <col min="2" max="2" width="12" bestFit="1" customWidth="1"/>
  </cols>
  <sheetData>
    <row r="1" spans="1:3" x14ac:dyDescent="0.3">
      <c r="A1" t="s">
        <v>171</v>
      </c>
      <c r="B1" t="s">
        <v>172</v>
      </c>
      <c r="C1" t="s">
        <v>187</v>
      </c>
    </row>
    <row r="2" spans="1:3" x14ac:dyDescent="0.3">
      <c r="A2" t="s">
        <v>0</v>
      </c>
      <c r="B2">
        <v>3.672504</v>
      </c>
      <c r="C2" t="str">
        <f>RIGHT(latest?base_USD_access_key_98bcfc113a4cc88197d6258c2cbd86be[[#This Row],[CurrencyCode]],3)</f>
        <v>AED</v>
      </c>
    </row>
    <row r="3" spans="1:3" x14ac:dyDescent="0.3">
      <c r="A3" t="s">
        <v>1</v>
      </c>
      <c r="B3">
        <v>65.503990999999999</v>
      </c>
      <c r="C3" t="str">
        <f>RIGHT(latest?base_USD_access_key_98bcfc113a4cc88197d6258c2cbd86be[[#This Row],[CurrencyCode]],3)</f>
        <v>AFN</v>
      </c>
    </row>
    <row r="4" spans="1:3" x14ac:dyDescent="0.3">
      <c r="A4" t="s">
        <v>2</v>
      </c>
      <c r="B4">
        <v>83.072963000000001</v>
      </c>
      <c r="C4" t="str">
        <f>RIGHT(latest?base_USD_access_key_98bcfc113a4cc88197d6258c2cbd86be[[#This Row],[CurrencyCode]],3)</f>
        <v>ALL</v>
      </c>
    </row>
    <row r="5" spans="1:3" x14ac:dyDescent="0.3">
      <c r="A5" t="s">
        <v>3</v>
      </c>
      <c r="B5">
        <v>376.98040300000002</v>
      </c>
      <c r="C5" t="str">
        <f>RIGHT(latest?base_USD_access_key_98bcfc113a4cc88197d6258c2cbd86be[[#This Row],[CurrencyCode]],3)</f>
        <v>AMD</v>
      </c>
    </row>
    <row r="6" spans="1:3" x14ac:dyDescent="0.3">
      <c r="A6" t="s">
        <v>4</v>
      </c>
      <c r="B6">
        <v>1.7900830000000001</v>
      </c>
      <c r="C6" t="str">
        <f>RIGHT(latest?base_USD_access_key_98bcfc113a4cc88197d6258c2cbd86be[[#This Row],[CurrencyCode]],3)</f>
        <v>ANG</v>
      </c>
    </row>
    <row r="7" spans="1:3" x14ac:dyDescent="0.3">
      <c r="A7" t="s">
        <v>5</v>
      </c>
      <c r="B7">
        <v>917.00036699999998</v>
      </c>
      <c r="C7" t="str">
        <f>RIGHT(latest?base_USD_access_key_98bcfc113a4cc88197d6258c2cbd86be[[#This Row],[CurrencyCode]],3)</f>
        <v>AOA</v>
      </c>
    </row>
    <row r="8" spans="1:3" x14ac:dyDescent="0.3">
      <c r="A8" t="s">
        <v>6</v>
      </c>
      <c r="B8">
        <v>1386.420402</v>
      </c>
      <c r="C8" t="str">
        <f>RIGHT(latest?base_USD_access_key_98bcfc113a4cc88197d6258c2cbd86be[[#This Row],[CurrencyCode]],3)</f>
        <v>ARS</v>
      </c>
    </row>
    <row r="9" spans="1:3" x14ac:dyDescent="0.3">
      <c r="A9" t="s">
        <v>7</v>
      </c>
      <c r="B9">
        <v>1.4484360000000001</v>
      </c>
      <c r="C9" t="str">
        <f>RIGHT(latest?base_USD_access_key_98bcfc113a4cc88197d6258c2cbd86be[[#This Row],[CurrencyCode]],3)</f>
        <v>AUD</v>
      </c>
    </row>
    <row r="10" spans="1:3" x14ac:dyDescent="0.3">
      <c r="A10" t="s">
        <v>8</v>
      </c>
      <c r="B10">
        <v>1.8002499999999999</v>
      </c>
      <c r="C10" t="str">
        <f>RIGHT(latest?base_USD_access_key_98bcfc113a4cc88197d6258c2cbd86be[[#This Row],[CurrencyCode]],3)</f>
        <v>AWG</v>
      </c>
    </row>
    <row r="11" spans="1:3" x14ac:dyDescent="0.3">
      <c r="A11" t="s">
        <v>9</v>
      </c>
      <c r="B11">
        <v>1.70397</v>
      </c>
      <c r="C11" t="str">
        <f>RIGHT(latest?base_USD_access_key_98bcfc113a4cc88197d6258c2cbd86be[[#This Row],[CurrencyCode]],3)</f>
        <v>AZN</v>
      </c>
    </row>
    <row r="12" spans="1:3" x14ac:dyDescent="0.3">
      <c r="A12" t="s">
        <v>10</v>
      </c>
      <c r="B12">
        <v>1.6950719999999999</v>
      </c>
      <c r="C12" t="str">
        <f>RIGHT(latest?base_USD_access_key_98bcfc113a4cc88197d6258c2cbd86be[[#This Row],[CurrencyCode]],3)</f>
        <v>BAM</v>
      </c>
    </row>
    <row r="13" spans="1:3" x14ac:dyDescent="0.3">
      <c r="A13" t="s">
        <v>11</v>
      </c>
      <c r="B13">
        <v>2.0096120000000002</v>
      </c>
      <c r="C13" t="str">
        <f>RIGHT(latest?base_USD_access_key_98bcfc113a4cc88197d6258c2cbd86be[[#This Row],[CurrencyCode]],3)</f>
        <v>BBD</v>
      </c>
    </row>
    <row r="14" spans="1:3" x14ac:dyDescent="0.3">
      <c r="A14" t="s">
        <v>12</v>
      </c>
      <c r="B14">
        <v>122.428639</v>
      </c>
      <c r="C14" t="str">
        <f>RIGHT(latest?base_USD_access_key_98bcfc113a4cc88197d6258c2cbd86be[[#This Row],[CurrencyCode]],3)</f>
        <v>BDT</v>
      </c>
    </row>
    <row r="15" spans="1:3" x14ac:dyDescent="0.3">
      <c r="A15" t="s">
        <v>13</v>
      </c>
      <c r="B15">
        <v>1.709309</v>
      </c>
      <c r="C15" t="str">
        <f>RIGHT(latest?base_USD_access_key_98bcfc113a4cc88197d6258c2cbd86be[[#This Row],[CurrencyCode]],3)</f>
        <v>BGN</v>
      </c>
    </row>
    <row r="16" spans="1:3" x14ac:dyDescent="0.3">
      <c r="A16" t="s">
        <v>14</v>
      </c>
      <c r="B16">
        <v>0.37816300000000003</v>
      </c>
      <c r="C16" t="str">
        <f>RIGHT(latest?base_USD_access_key_98bcfc113a4cc88197d6258c2cbd86be[[#This Row],[CurrencyCode]],3)</f>
        <v>BHD</v>
      </c>
    </row>
    <row r="17" spans="1:3" x14ac:dyDescent="0.3">
      <c r="A17" t="s">
        <v>15</v>
      </c>
      <c r="B17">
        <v>2970</v>
      </c>
      <c r="C17" t="str">
        <f>RIGHT(latest?base_USD_access_key_98bcfc113a4cc88197d6258c2cbd86be[[#This Row],[CurrencyCode]],3)</f>
        <v>BIF</v>
      </c>
    </row>
    <row r="18" spans="1:3" x14ac:dyDescent="0.3">
      <c r="A18" t="s">
        <v>16</v>
      </c>
      <c r="B18">
        <v>1</v>
      </c>
      <c r="C18" t="str">
        <f>RIGHT(latest?base_USD_access_key_98bcfc113a4cc88197d6258c2cbd86be[[#This Row],[CurrencyCode]],3)</f>
        <v>BMD</v>
      </c>
    </row>
    <row r="19" spans="1:3" x14ac:dyDescent="0.3">
      <c r="A19" t="s">
        <v>17</v>
      </c>
      <c r="B19">
        <v>1.2850999999999999</v>
      </c>
      <c r="C19" t="str">
        <f>RIGHT(latest?base_USD_access_key_98bcfc113a4cc88197d6258c2cbd86be[[#This Row],[CurrencyCode]],3)</f>
        <v>BND</v>
      </c>
    </row>
    <row r="20" spans="1:3" x14ac:dyDescent="0.3">
      <c r="A20" t="s">
        <v>18</v>
      </c>
      <c r="B20">
        <v>6.8945189999999998</v>
      </c>
      <c r="C20" t="str">
        <f>RIGHT(latest?base_USD_access_key_98bcfc113a4cc88197d6258c2cbd86be[[#This Row],[CurrencyCode]],3)</f>
        <v>BOB</v>
      </c>
    </row>
    <row r="21" spans="1:3" x14ac:dyDescent="0.3">
      <c r="A21" t="s">
        <v>19</v>
      </c>
      <c r="B21">
        <v>5.1606040000000002</v>
      </c>
      <c r="C21" t="str">
        <f>RIGHT(latest?base_USD_access_key_98bcfc113a4cc88197d6258c2cbd86be[[#This Row],[CurrencyCode]],3)</f>
        <v>BRL</v>
      </c>
    </row>
    <row r="22" spans="1:3" x14ac:dyDescent="0.3">
      <c r="A22" t="s">
        <v>20</v>
      </c>
      <c r="B22">
        <v>0.99774200000000002</v>
      </c>
      <c r="C22" t="str">
        <f>RIGHT(latest?base_USD_access_key_98bcfc113a4cc88197d6258c2cbd86be[[#This Row],[CurrencyCode]],3)</f>
        <v>BSD</v>
      </c>
    </row>
    <row r="23" spans="1:3" x14ac:dyDescent="0.3">
      <c r="A23" t="s">
        <v>21</v>
      </c>
      <c r="B23">
        <v>1.4959490000000001E-5</v>
      </c>
      <c r="C23" t="str">
        <f>RIGHT(latest?base_USD_access_key_98bcfc113a4cc88197d6258c2cbd86be[[#This Row],[CurrencyCode]],3)</f>
        <v>BTC</v>
      </c>
    </row>
    <row r="24" spans="1:3" x14ac:dyDescent="0.3">
      <c r="A24" t="s">
        <v>22</v>
      </c>
      <c r="B24">
        <v>92.939509000000001</v>
      </c>
      <c r="C24" t="str">
        <f>RIGHT(latest?base_USD_access_key_98bcfc113a4cc88197d6258c2cbd86be[[#This Row],[CurrencyCode]],3)</f>
        <v>BTN</v>
      </c>
    </row>
    <row r="25" spans="1:3" x14ac:dyDescent="0.3">
      <c r="A25" t="s">
        <v>23</v>
      </c>
      <c r="B25">
        <v>13.688561999999999</v>
      </c>
      <c r="C25" t="str">
        <f>RIGHT(latest?base_USD_access_key_98bcfc113a4cc88197d6258c2cbd86be[[#This Row],[CurrencyCode]],3)</f>
        <v>BWP</v>
      </c>
    </row>
    <row r="26" spans="1:3" x14ac:dyDescent="0.3">
      <c r="A26" t="s">
        <v>24</v>
      </c>
      <c r="B26">
        <v>2.9565039999999998</v>
      </c>
      <c r="C26" t="str">
        <f>RIGHT(latest?base_USD_access_key_98bcfc113a4cc88197d6258c2cbd86be[[#This Row],[CurrencyCode]],3)</f>
        <v>BYN</v>
      </c>
    </row>
    <row r="27" spans="1:3" x14ac:dyDescent="0.3">
      <c r="A27" t="s">
        <v>25</v>
      </c>
      <c r="B27">
        <v>19600</v>
      </c>
      <c r="C27" t="str">
        <f>RIGHT(latest?base_USD_access_key_98bcfc113a4cc88197d6258c2cbd86be[[#This Row],[CurrencyCode]],3)</f>
        <v>BYR</v>
      </c>
    </row>
    <row r="28" spans="1:3" x14ac:dyDescent="0.3">
      <c r="A28" t="s">
        <v>26</v>
      </c>
      <c r="B28">
        <v>2.0066649999999999</v>
      </c>
      <c r="C28" t="str">
        <f>RIGHT(latest?base_USD_access_key_98bcfc113a4cc88197d6258c2cbd86be[[#This Row],[CurrencyCode]],3)</f>
        <v>BZD</v>
      </c>
    </row>
    <row r="29" spans="1:3" x14ac:dyDescent="0.3">
      <c r="A29" t="s">
        <v>27</v>
      </c>
      <c r="B29">
        <v>1.3947499999999999</v>
      </c>
      <c r="C29" t="str">
        <f>RIGHT(latest?base_USD_access_key_98bcfc113a4cc88197d6258c2cbd86be[[#This Row],[CurrencyCode]],3)</f>
        <v>CAD</v>
      </c>
    </row>
    <row r="30" spans="1:3" x14ac:dyDescent="0.3">
      <c r="A30" t="s">
        <v>28</v>
      </c>
      <c r="B30">
        <v>2305.0003620000002</v>
      </c>
      <c r="C30" t="str">
        <f>RIGHT(latest?base_USD_access_key_98bcfc113a4cc88197d6258c2cbd86be[[#This Row],[CurrencyCode]],3)</f>
        <v>CDF</v>
      </c>
    </row>
    <row r="31" spans="1:3" x14ac:dyDescent="0.3">
      <c r="A31" t="s">
        <v>29</v>
      </c>
      <c r="B31">
        <v>0.79876000000000003</v>
      </c>
      <c r="C31" t="str">
        <f>RIGHT(latest?base_USD_access_key_98bcfc113a4cc88197d6258c2cbd86be[[#This Row],[CurrencyCode]],3)</f>
        <v>CHF</v>
      </c>
    </row>
    <row r="32" spans="1:3" x14ac:dyDescent="0.3">
      <c r="A32" t="s">
        <v>30</v>
      </c>
      <c r="B32">
        <v>2.3281E-2</v>
      </c>
      <c r="C32" t="str">
        <f>RIGHT(latest?base_USD_access_key_98bcfc113a4cc88197d6258c2cbd86be[[#This Row],[CurrencyCode]],3)</f>
        <v>CLF</v>
      </c>
    </row>
    <row r="33" spans="1:3" x14ac:dyDescent="0.3">
      <c r="A33" t="s">
        <v>31</v>
      </c>
      <c r="B33">
        <v>919.25039600000002</v>
      </c>
      <c r="C33" t="str">
        <f>RIGHT(latest?base_USD_access_key_98bcfc113a4cc88197d6258c2cbd86be[[#This Row],[CurrencyCode]],3)</f>
        <v>CLP</v>
      </c>
    </row>
    <row r="34" spans="1:3" x14ac:dyDescent="0.3">
      <c r="A34" t="s">
        <v>32</v>
      </c>
      <c r="B34">
        <v>6.8826499999999999</v>
      </c>
      <c r="C34" t="str">
        <f>RIGHT(latest?base_USD_access_key_98bcfc113a4cc88197d6258c2cbd86be[[#This Row],[CurrencyCode]],3)</f>
        <v>CNY</v>
      </c>
    </row>
    <row r="35" spans="1:3" x14ac:dyDescent="0.3">
      <c r="A35" t="s">
        <v>33</v>
      </c>
      <c r="B35">
        <v>6.8862249999999996</v>
      </c>
      <c r="C35" t="str">
        <f>RIGHT(latest?base_USD_access_key_98bcfc113a4cc88197d6258c2cbd86be[[#This Row],[CurrencyCode]],3)</f>
        <v>CNH</v>
      </c>
    </row>
    <row r="36" spans="1:3" x14ac:dyDescent="0.3">
      <c r="A36" t="s">
        <v>34</v>
      </c>
      <c r="B36">
        <v>3668.42</v>
      </c>
      <c r="C36" t="str">
        <f>RIGHT(latest?base_USD_access_key_98bcfc113a4cc88197d6258c2cbd86be[[#This Row],[CurrencyCode]],3)</f>
        <v>COP</v>
      </c>
    </row>
    <row r="37" spans="1:3" x14ac:dyDescent="0.3">
      <c r="A37" t="s">
        <v>35</v>
      </c>
      <c r="B37">
        <v>464.279833</v>
      </c>
      <c r="C37" t="str">
        <f>RIGHT(latest?base_USD_access_key_98bcfc113a4cc88197d6258c2cbd86be[[#This Row],[CurrencyCode]],3)</f>
        <v>CRC</v>
      </c>
    </row>
    <row r="38" spans="1:3" x14ac:dyDescent="0.3">
      <c r="A38" t="s">
        <v>36</v>
      </c>
      <c r="B38">
        <v>1</v>
      </c>
      <c r="C38" t="str">
        <f>RIGHT(latest?base_USD_access_key_98bcfc113a4cc88197d6258c2cbd86be[[#This Row],[CurrencyCode]],3)</f>
        <v>CUC</v>
      </c>
    </row>
    <row r="39" spans="1:3" x14ac:dyDescent="0.3">
      <c r="A39" t="s">
        <v>37</v>
      </c>
      <c r="B39">
        <v>26.5</v>
      </c>
      <c r="C39" t="str">
        <f>RIGHT(latest?base_USD_access_key_98bcfc113a4cc88197d6258c2cbd86be[[#This Row],[CurrencyCode]],3)</f>
        <v>CUP</v>
      </c>
    </row>
    <row r="40" spans="1:3" x14ac:dyDescent="0.3">
      <c r="A40" t="s">
        <v>38</v>
      </c>
      <c r="B40">
        <v>96.000359000000003</v>
      </c>
      <c r="C40" t="str">
        <f>RIGHT(latest?base_USD_access_key_98bcfc113a4cc88197d6258c2cbd86be[[#This Row],[CurrencyCode]],3)</f>
        <v>CVE</v>
      </c>
    </row>
    <row r="41" spans="1:3" x14ac:dyDescent="0.3">
      <c r="A41" t="s">
        <v>39</v>
      </c>
      <c r="B41">
        <v>21.288304</v>
      </c>
      <c r="C41" t="str">
        <f>RIGHT(latest?base_USD_access_key_98bcfc113a4cc88197d6258c2cbd86be[[#This Row],[CurrencyCode]],3)</f>
        <v>CZK</v>
      </c>
    </row>
    <row r="42" spans="1:3" x14ac:dyDescent="0.3">
      <c r="A42" t="s">
        <v>40</v>
      </c>
      <c r="B42">
        <v>177.720393</v>
      </c>
      <c r="C42" t="str">
        <f>RIGHT(latest?base_USD_access_key_98bcfc113a4cc88197d6258c2cbd86be[[#This Row],[CurrencyCode]],3)</f>
        <v>DJF</v>
      </c>
    </row>
    <row r="43" spans="1:3" x14ac:dyDescent="0.3">
      <c r="A43" t="s">
        <v>41</v>
      </c>
      <c r="B43">
        <v>6.4878039999999997</v>
      </c>
      <c r="C43" t="str">
        <f>RIGHT(latest?base_USD_access_key_98bcfc113a4cc88197d6258c2cbd86be[[#This Row],[CurrencyCode]],3)</f>
        <v>DKK</v>
      </c>
    </row>
    <row r="44" spans="1:3" x14ac:dyDescent="0.3">
      <c r="A44" t="s">
        <v>42</v>
      </c>
      <c r="B44">
        <v>60.850392999999997</v>
      </c>
      <c r="C44" t="str">
        <f>RIGHT(latest?base_USD_access_key_98bcfc113a4cc88197d6258c2cbd86be[[#This Row],[CurrencyCode]],3)</f>
        <v>DOP</v>
      </c>
    </row>
    <row r="45" spans="1:3" x14ac:dyDescent="0.3">
      <c r="A45" t="s">
        <v>43</v>
      </c>
      <c r="B45">
        <v>133.25695400000001</v>
      </c>
      <c r="C45" t="str">
        <f>RIGHT(latest?base_USD_access_key_98bcfc113a4cc88197d6258c2cbd86be[[#This Row],[CurrencyCode]],3)</f>
        <v>DZD</v>
      </c>
    </row>
    <row r="46" spans="1:3" x14ac:dyDescent="0.3">
      <c r="A46" t="s">
        <v>44</v>
      </c>
      <c r="B46">
        <v>54.334938999999999</v>
      </c>
      <c r="C46" t="str">
        <f>RIGHT(latest?base_USD_access_key_98bcfc113a4cc88197d6258c2cbd86be[[#This Row],[CurrencyCode]],3)</f>
        <v>EGP</v>
      </c>
    </row>
    <row r="47" spans="1:3" x14ac:dyDescent="0.3">
      <c r="A47" t="s">
        <v>45</v>
      </c>
      <c r="B47">
        <v>15</v>
      </c>
      <c r="C47" t="str">
        <f>RIGHT(latest?base_USD_access_key_98bcfc113a4cc88197d6258c2cbd86be[[#This Row],[CurrencyCode]],3)</f>
        <v>ERN</v>
      </c>
    </row>
    <row r="48" spans="1:3" x14ac:dyDescent="0.3">
      <c r="A48" t="s">
        <v>46</v>
      </c>
      <c r="B48">
        <v>155.80082200000001</v>
      </c>
      <c r="C48" t="str">
        <f>RIGHT(latest?base_USD_access_key_98bcfc113a4cc88197d6258c2cbd86be[[#This Row],[CurrencyCode]],3)</f>
        <v>ETB</v>
      </c>
    </row>
    <row r="49" spans="1:3" x14ac:dyDescent="0.3">
      <c r="A49" t="s">
        <v>47</v>
      </c>
      <c r="B49">
        <v>0.86804000000000003</v>
      </c>
      <c r="C49" t="str">
        <f>RIGHT(latest?base_USD_access_key_98bcfc113a4cc88197d6258c2cbd86be[[#This Row],[CurrencyCode]],3)</f>
        <v>EUR</v>
      </c>
    </row>
    <row r="50" spans="1:3" x14ac:dyDescent="0.3">
      <c r="A50" t="s">
        <v>48</v>
      </c>
      <c r="B50">
        <v>2.2538040000000001</v>
      </c>
      <c r="C50" t="str">
        <f>RIGHT(latest?base_USD_access_key_98bcfc113a4cc88197d6258c2cbd86be[[#This Row],[CurrencyCode]],3)</f>
        <v>FJD</v>
      </c>
    </row>
    <row r="51" spans="1:3" x14ac:dyDescent="0.3">
      <c r="A51" t="s">
        <v>49</v>
      </c>
      <c r="B51">
        <v>0.75751199999999996</v>
      </c>
      <c r="C51" t="str">
        <f>RIGHT(latest?base_USD_access_key_98bcfc113a4cc88197d6258c2cbd86be[[#This Row],[CurrencyCode]],3)</f>
        <v>FKP</v>
      </c>
    </row>
    <row r="52" spans="1:3" x14ac:dyDescent="0.3">
      <c r="A52" t="s">
        <v>50</v>
      </c>
      <c r="B52">
        <v>0.75640099999999999</v>
      </c>
      <c r="C52" t="str">
        <f>RIGHT(latest?base_USD_access_key_98bcfc113a4cc88197d6258c2cbd86be[[#This Row],[CurrencyCode]],3)</f>
        <v>GBP</v>
      </c>
    </row>
    <row r="53" spans="1:3" x14ac:dyDescent="0.3">
      <c r="A53" t="s">
        <v>51</v>
      </c>
      <c r="B53">
        <v>2.6850399999999999</v>
      </c>
      <c r="C53" t="str">
        <f>RIGHT(latest?base_USD_access_key_98bcfc113a4cc88197d6258c2cbd86be[[#This Row],[CurrencyCode]],3)</f>
        <v>GEL</v>
      </c>
    </row>
    <row r="54" spans="1:3" x14ac:dyDescent="0.3">
      <c r="A54" t="s">
        <v>52</v>
      </c>
      <c r="B54">
        <v>0.75751199999999996</v>
      </c>
      <c r="C54" t="str">
        <f>RIGHT(latest?base_USD_access_key_98bcfc113a4cc88197d6258c2cbd86be[[#This Row],[CurrencyCode]],3)</f>
        <v>GGP</v>
      </c>
    </row>
    <row r="55" spans="1:3" x14ac:dyDescent="0.3">
      <c r="A55" t="s">
        <v>53</v>
      </c>
      <c r="B55">
        <v>11.005039999999999</v>
      </c>
      <c r="C55" t="str">
        <f>RIGHT(latest?base_USD_access_key_98bcfc113a4cc88197d6258c2cbd86be[[#This Row],[CurrencyCode]],3)</f>
        <v>GHS</v>
      </c>
    </row>
    <row r="56" spans="1:3" x14ac:dyDescent="0.3">
      <c r="A56" t="s">
        <v>54</v>
      </c>
      <c r="B56">
        <v>0.75751199999999996</v>
      </c>
      <c r="C56" t="str">
        <f>RIGHT(latest?base_USD_access_key_98bcfc113a4cc88197d6258c2cbd86be[[#This Row],[CurrencyCode]],3)</f>
        <v>GIP</v>
      </c>
    </row>
    <row r="57" spans="1:3" x14ac:dyDescent="0.3">
      <c r="A57" t="s">
        <v>55</v>
      </c>
      <c r="B57">
        <v>74.000354999999999</v>
      </c>
      <c r="C57" t="str">
        <f>RIGHT(latest?base_USD_access_key_98bcfc113a4cc88197d6258c2cbd86be[[#This Row],[CurrencyCode]],3)</f>
        <v>GMD</v>
      </c>
    </row>
    <row r="58" spans="1:3" x14ac:dyDescent="0.3">
      <c r="A58" t="s">
        <v>56</v>
      </c>
      <c r="B58">
        <v>8780.0003550000001</v>
      </c>
      <c r="C58" t="str">
        <f>RIGHT(latest?base_USD_access_key_98bcfc113a4cc88197d6258c2cbd86be[[#This Row],[CurrencyCode]],3)</f>
        <v>GNF</v>
      </c>
    </row>
    <row r="59" spans="1:3" x14ac:dyDescent="0.3">
      <c r="A59" t="s">
        <v>57</v>
      </c>
      <c r="B59">
        <v>7.6329390000000004</v>
      </c>
      <c r="C59" t="str">
        <f>RIGHT(latest?base_USD_access_key_98bcfc113a4cc88197d6258c2cbd86be[[#This Row],[CurrencyCode]],3)</f>
        <v>GTQ</v>
      </c>
    </row>
    <row r="60" spans="1:3" x14ac:dyDescent="0.3">
      <c r="A60" t="s">
        <v>58</v>
      </c>
      <c r="B60">
        <v>208.82897199999999</v>
      </c>
      <c r="C60" t="str">
        <f>RIGHT(latest?base_USD_access_key_98bcfc113a4cc88197d6258c2cbd86be[[#This Row],[CurrencyCode]],3)</f>
        <v>GYD</v>
      </c>
    </row>
    <row r="61" spans="1:3" x14ac:dyDescent="0.3">
      <c r="A61" t="s">
        <v>59</v>
      </c>
      <c r="B61">
        <v>7.8377499999999998</v>
      </c>
      <c r="C61" t="str">
        <f>RIGHT(latest?base_USD_access_key_98bcfc113a4cc88197d6258c2cbd86be[[#This Row],[CurrencyCode]],3)</f>
        <v>HKD</v>
      </c>
    </row>
    <row r="62" spans="1:3" x14ac:dyDescent="0.3">
      <c r="A62" t="s">
        <v>60</v>
      </c>
      <c r="B62">
        <v>26.504427</v>
      </c>
      <c r="C62" t="str">
        <f>RIGHT(latest?base_USD_access_key_98bcfc113a4cc88197d6258c2cbd86be[[#This Row],[CurrencyCode]],3)</f>
        <v>HNL</v>
      </c>
    </row>
    <row r="63" spans="1:3" x14ac:dyDescent="0.3">
      <c r="A63" t="s">
        <v>61</v>
      </c>
      <c r="B63">
        <v>6.539104</v>
      </c>
      <c r="C63" t="str">
        <f>RIGHT(latest?base_USD_access_key_98bcfc113a4cc88197d6258c2cbd86be[[#This Row],[CurrencyCode]],3)</f>
        <v>HRK</v>
      </c>
    </row>
    <row r="64" spans="1:3" x14ac:dyDescent="0.3">
      <c r="A64" t="s">
        <v>62</v>
      </c>
      <c r="B64">
        <v>130.95289700000001</v>
      </c>
      <c r="C64" t="str">
        <f>RIGHT(latest?base_USD_access_key_98bcfc113a4cc88197d6258c2cbd86be[[#This Row],[CurrencyCode]],3)</f>
        <v>HTG</v>
      </c>
    </row>
    <row r="65" spans="1:3" x14ac:dyDescent="0.3">
      <c r="A65" t="s">
        <v>63</v>
      </c>
      <c r="B65">
        <v>333.93038799999999</v>
      </c>
      <c r="C65" t="str">
        <f>RIGHT(latest?base_USD_access_key_98bcfc113a4cc88197d6258c2cbd86be[[#This Row],[CurrencyCode]],3)</f>
        <v>HUF</v>
      </c>
    </row>
    <row r="66" spans="1:3" x14ac:dyDescent="0.3">
      <c r="A66" t="s">
        <v>64</v>
      </c>
      <c r="B66">
        <v>16994.599999999999</v>
      </c>
      <c r="C66" t="str">
        <f>RIGHT(latest?base_USD_access_key_98bcfc113a4cc88197d6258c2cbd86be[[#This Row],[CurrencyCode]],3)</f>
        <v>IDR</v>
      </c>
    </row>
    <row r="67" spans="1:3" x14ac:dyDescent="0.3">
      <c r="A67" t="s">
        <v>65</v>
      </c>
      <c r="B67">
        <v>3.1303749999999999</v>
      </c>
      <c r="C67" t="str">
        <f>RIGHT(latest?base_USD_access_key_98bcfc113a4cc88197d6258c2cbd86be[[#This Row],[CurrencyCode]],3)</f>
        <v>ILS</v>
      </c>
    </row>
    <row r="68" spans="1:3" x14ac:dyDescent="0.3">
      <c r="A68" t="s">
        <v>66</v>
      </c>
      <c r="B68">
        <v>0.75751199999999996</v>
      </c>
      <c r="C68" t="str">
        <f>RIGHT(latest?base_USD_access_key_98bcfc113a4cc88197d6258c2cbd86be[[#This Row],[CurrencyCode]],3)</f>
        <v>IMP</v>
      </c>
    </row>
    <row r="69" spans="1:3" x14ac:dyDescent="0.3">
      <c r="A69" t="s">
        <v>67</v>
      </c>
      <c r="B69">
        <v>92.739949999999993</v>
      </c>
      <c r="C69" t="str">
        <f>RIGHT(latest?base_USD_access_key_98bcfc113a4cc88197d6258c2cbd86be[[#This Row],[CurrencyCode]],3)</f>
        <v>INR</v>
      </c>
    </row>
    <row r="70" spans="1:3" x14ac:dyDescent="0.3">
      <c r="A70" t="s">
        <v>68</v>
      </c>
      <c r="B70">
        <v>1307.141959</v>
      </c>
      <c r="C70" t="str">
        <f>RIGHT(latest?base_USD_access_key_98bcfc113a4cc88197d6258c2cbd86be[[#This Row],[CurrencyCode]],3)</f>
        <v>IQD</v>
      </c>
    </row>
    <row r="71" spans="1:3" x14ac:dyDescent="0.3">
      <c r="A71" t="s">
        <v>69</v>
      </c>
      <c r="B71">
        <v>1319175.0003519999</v>
      </c>
      <c r="C71" t="str">
        <f>RIGHT(latest?base_USD_access_key_98bcfc113a4cc88197d6258c2cbd86be[[#This Row],[CurrencyCode]],3)</f>
        <v>IRR</v>
      </c>
    </row>
    <row r="72" spans="1:3" x14ac:dyDescent="0.3">
      <c r="A72" t="s">
        <v>70</v>
      </c>
      <c r="B72">
        <v>125.380386</v>
      </c>
      <c r="C72" t="str">
        <f>RIGHT(latest?base_USD_access_key_98bcfc113a4cc88197d6258c2cbd86be[[#This Row],[CurrencyCode]],3)</f>
        <v>ISK</v>
      </c>
    </row>
    <row r="73" spans="1:3" x14ac:dyDescent="0.3">
      <c r="A73" t="s">
        <v>71</v>
      </c>
      <c r="B73">
        <v>0.75751199999999996</v>
      </c>
      <c r="C73" t="str">
        <f>RIGHT(latest?base_USD_access_key_98bcfc113a4cc88197d6258c2cbd86be[[#This Row],[CurrencyCode]],3)</f>
        <v>JEP</v>
      </c>
    </row>
    <row r="74" spans="1:3" x14ac:dyDescent="0.3">
      <c r="A74" t="s">
        <v>72</v>
      </c>
      <c r="B74">
        <v>157.30356599999999</v>
      </c>
      <c r="C74" t="str">
        <f>RIGHT(latest?base_USD_access_key_98bcfc113a4cc88197d6258c2cbd86be[[#This Row],[CurrencyCode]],3)</f>
        <v>JMD</v>
      </c>
    </row>
    <row r="75" spans="1:3" x14ac:dyDescent="0.3">
      <c r="A75" t="s">
        <v>73</v>
      </c>
      <c r="B75">
        <v>0.70904</v>
      </c>
      <c r="C75" t="str">
        <f>RIGHT(latest?base_USD_access_key_98bcfc113a4cc88197d6258c2cbd86be[[#This Row],[CurrencyCode]],3)</f>
        <v>JOD</v>
      </c>
    </row>
    <row r="76" spans="1:3" x14ac:dyDescent="0.3">
      <c r="A76" t="s">
        <v>74</v>
      </c>
      <c r="B76">
        <v>159.65404000000001</v>
      </c>
      <c r="C76" t="str">
        <f>RIGHT(latest?base_USD_access_key_98bcfc113a4cc88197d6258c2cbd86be[[#This Row],[CurrencyCode]],3)</f>
        <v>JPY</v>
      </c>
    </row>
    <row r="77" spans="1:3" x14ac:dyDescent="0.3">
      <c r="A77" t="s">
        <v>75</v>
      </c>
      <c r="B77">
        <v>129.80380099999999</v>
      </c>
      <c r="C77" t="str">
        <f>RIGHT(latest?base_USD_access_key_98bcfc113a4cc88197d6258c2cbd86be[[#This Row],[CurrencyCode]],3)</f>
        <v>KES</v>
      </c>
    </row>
    <row r="78" spans="1:3" x14ac:dyDescent="0.3">
      <c r="A78" t="s">
        <v>76</v>
      </c>
      <c r="B78">
        <v>87.450384</v>
      </c>
      <c r="C78" t="str">
        <f>RIGHT(latest?base_USD_access_key_98bcfc113a4cc88197d6258c2cbd86be[[#This Row],[CurrencyCode]],3)</f>
        <v>KGS</v>
      </c>
    </row>
    <row r="79" spans="1:3" x14ac:dyDescent="0.3">
      <c r="A79" t="s">
        <v>77</v>
      </c>
      <c r="B79">
        <v>3990.1373229999999</v>
      </c>
      <c r="C79" t="str">
        <f>RIGHT(latest?base_USD_access_key_98bcfc113a4cc88197d6258c2cbd86be[[#This Row],[CurrencyCode]],3)</f>
        <v>KHR</v>
      </c>
    </row>
    <row r="80" spans="1:3" x14ac:dyDescent="0.3">
      <c r="A80" t="s">
        <v>78</v>
      </c>
      <c r="B80">
        <v>427.00035000000003</v>
      </c>
      <c r="C80" t="str">
        <f>RIGHT(latest?base_USD_access_key_98bcfc113a4cc88197d6258c2cbd86be[[#This Row],[CurrencyCode]],3)</f>
        <v>KMF</v>
      </c>
    </row>
    <row r="81" spans="1:3" x14ac:dyDescent="0.3">
      <c r="A81" t="s">
        <v>79</v>
      </c>
      <c r="B81">
        <v>899.99574099999995</v>
      </c>
      <c r="C81" t="str">
        <f>RIGHT(latest?base_USD_access_key_98bcfc113a4cc88197d6258c2cbd86be[[#This Row],[CurrencyCode]],3)</f>
        <v>KPW</v>
      </c>
    </row>
    <row r="82" spans="1:3" x14ac:dyDescent="0.3">
      <c r="A82" t="s">
        <v>80</v>
      </c>
      <c r="B82">
        <v>1511.260383</v>
      </c>
      <c r="C82" t="str">
        <f>RIGHT(latest?base_USD_access_key_98bcfc113a4cc88197d6258c2cbd86be[[#This Row],[CurrencyCode]],3)</f>
        <v>KRW</v>
      </c>
    </row>
    <row r="83" spans="1:3" x14ac:dyDescent="0.3">
      <c r="A83" t="s">
        <v>81</v>
      </c>
      <c r="B83">
        <v>0.30934</v>
      </c>
      <c r="C83" t="str">
        <f>RIGHT(latest?base_USD_access_key_98bcfc113a4cc88197d6258c2cbd86be[[#This Row],[CurrencyCode]],3)</f>
        <v>KWD</v>
      </c>
    </row>
    <row r="84" spans="1:3" x14ac:dyDescent="0.3">
      <c r="A84" t="s">
        <v>82</v>
      </c>
      <c r="B84">
        <v>0.83150199999999996</v>
      </c>
      <c r="C84" t="str">
        <f>RIGHT(latest?base_USD_access_key_98bcfc113a4cc88197d6258c2cbd86be[[#This Row],[CurrencyCode]],3)</f>
        <v>KYD</v>
      </c>
    </row>
    <row r="85" spans="1:3" x14ac:dyDescent="0.3">
      <c r="A85" t="s">
        <v>83</v>
      </c>
      <c r="B85">
        <v>472.805432</v>
      </c>
      <c r="C85" t="str">
        <f>RIGHT(latest?base_USD_access_key_98bcfc113a4cc88197d6258c2cbd86be[[#This Row],[CurrencyCode]],3)</f>
        <v>KZT</v>
      </c>
    </row>
    <row r="86" spans="1:3" x14ac:dyDescent="0.3">
      <c r="A86" t="s">
        <v>84</v>
      </c>
      <c r="B86">
        <v>21970.392969</v>
      </c>
      <c r="C86" t="str">
        <f>RIGHT(latest?base_USD_access_key_98bcfc113a4cc88197d6258c2cbd86be[[#This Row],[CurrencyCode]],3)</f>
        <v>LAK</v>
      </c>
    </row>
    <row r="87" spans="1:3" x14ac:dyDescent="0.3">
      <c r="A87" t="s">
        <v>85</v>
      </c>
      <c r="B87">
        <v>89502.039260000005</v>
      </c>
      <c r="C87" t="str">
        <f>RIGHT(latest?base_USD_access_key_98bcfc113a4cc88197d6258c2cbd86be[[#This Row],[CurrencyCode]],3)</f>
        <v>LBP</v>
      </c>
    </row>
    <row r="88" spans="1:3" x14ac:dyDescent="0.3">
      <c r="A88" t="s">
        <v>86</v>
      </c>
      <c r="B88">
        <v>314.80462299999999</v>
      </c>
      <c r="C88" t="str">
        <f>RIGHT(latest?base_USD_access_key_98bcfc113a4cc88197d6258c2cbd86be[[#This Row],[CurrencyCode]],3)</f>
        <v>LKR</v>
      </c>
    </row>
    <row r="89" spans="1:3" x14ac:dyDescent="0.3">
      <c r="A89" t="s">
        <v>87</v>
      </c>
      <c r="B89">
        <v>183.08827700000001</v>
      </c>
      <c r="C89" t="str">
        <f>RIGHT(latest?base_USD_access_key_98bcfc113a4cc88197d6258c2cbd86be[[#This Row],[CurrencyCode]],3)</f>
        <v>LRD</v>
      </c>
    </row>
    <row r="90" spans="1:3" x14ac:dyDescent="0.3">
      <c r="A90" t="s">
        <v>88</v>
      </c>
      <c r="B90">
        <v>16.955078</v>
      </c>
      <c r="C90" t="str">
        <f>RIGHT(latest?base_USD_access_key_98bcfc113a4cc88197d6258c2cbd86be[[#This Row],[CurrencyCode]],3)</f>
        <v>LSL</v>
      </c>
    </row>
    <row r="91" spans="1:3" x14ac:dyDescent="0.3">
      <c r="A91" t="s">
        <v>89</v>
      </c>
      <c r="B91">
        <v>2.9527399999999999</v>
      </c>
      <c r="C91" t="str">
        <f>RIGHT(latest?base_USD_access_key_98bcfc113a4cc88197d6258c2cbd86be[[#This Row],[CurrencyCode]],3)</f>
        <v>LTL</v>
      </c>
    </row>
    <row r="92" spans="1:3" x14ac:dyDescent="0.3">
      <c r="A92" t="s">
        <v>90</v>
      </c>
      <c r="B92">
        <v>0.60489000000000004</v>
      </c>
      <c r="C92" t="str">
        <f>RIGHT(latest?base_USD_access_key_98bcfc113a4cc88197d6258c2cbd86be[[#This Row],[CurrencyCode]],3)</f>
        <v>LVL</v>
      </c>
    </row>
    <row r="93" spans="1:3" x14ac:dyDescent="0.3">
      <c r="A93" t="s">
        <v>91</v>
      </c>
      <c r="B93">
        <v>6.3806279999999997</v>
      </c>
      <c r="C93" t="str">
        <f>RIGHT(latest?base_USD_access_key_98bcfc113a4cc88197d6258c2cbd86be[[#This Row],[CurrencyCode]],3)</f>
        <v>LYD</v>
      </c>
    </row>
    <row r="94" spans="1:3" x14ac:dyDescent="0.3">
      <c r="A94" t="s">
        <v>92</v>
      </c>
      <c r="B94">
        <v>9.3740330000000007</v>
      </c>
      <c r="C94" t="str">
        <f>RIGHT(latest?base_USD_access_key_98bcfc113a4cc88197d6258c2cbd86be[[#This Row],[CurrencyCode]],3)</f>
        <v>MAD</v>
      </c>
    </row>
    <row r="95" spans="1:3" x14ac:dyDescent="0.3">
      <c r="A95" t="s">
        <v>93</v>
      </c>
      <c r="B95">
        <v>17.55613</v>
      </c>
      <c r="C95" t="str">
        <f>RIGHT(latest?base_USD_access_key_98bcfc113a4cc88197d6258c2cbd86be[[#This Row],[CurrencyCode]],3)</f>
        <v>MDL</v>
      </c>
    </row>
    <row r="96" spans="1:3" x14ac:dyDescent="0.3">
      <c r="A96" t="s">
        <v>94</v>
      </c>
      <c r="B96">
        <v>4171.3431410000003</v>
      </c>
      <c r="C96" t="str">
        <f>RIGHT(latest?base_USD_access_key_98bcfc113a4cc88197d6258c2cbd86be[[#This Row],[CurrencyCode]],3)</f>
        <v>MGA</v>
      </c>
    </row>
    <row r="97" spans="1:3" x14ac:dyDescent="0.3">
      <c r="A97" t="s">
        <v>95</v>
      </c>
      <c r="B97">
        <v>53.495638999999997</v>
      </c>
      <c r="C97" t="str">
        <f>RIGHT(latest?base_USD_access_key_98bcfc113a4cc88197d6258c2cbd86be[[#This Row],[CurrencyCode]],3)</f>
        <v>MKD</v>
      </c>
    </row>
    <row r="98" spans="1:3" x14ac:dyDescent="0.3">
      <c r="A98" t="s">
        <v>96</v>
      </c>
      <c r="B98">
        <v>2099.82872</v>
      </c>
      <c r="C98" t="str">
        <f>RIGHT(latest?base_USD_access_key_98bcfc113a4cc88197d6258c2cbd86be[[#This Row],[CurrencyCode]],3)</f>
        <v>MMK</v>
      </c>
    </row>
    <row r="99" spans="1:3" x14ac:dyDescent="0.3">
      <c r="A99" t="s">
        <v>97</v>
      </c>
      <c r="B99">
        <v>3572.7657789999998</v>
      </c>
      <c r="C99" t="str">
        <f>RIGHT(latest?base_USD_access_key_98bcfc113a4cc88197d6258c2cbd86be[[#This Row],[CurrencyCode]],3)</f>
        <v>MNT</v>
      </c>
    </row>
    <row r="100" spans="1:3" x14ac:dyDescent="0.3">
      <c r="A100" t="s">
        <v>98</v>
      </c>
      <c r="B100">
        <v>8.055104</v>
      </c>
      <c r="C100" t="str">
        <f>RIGHT(latest?base_USD_access_key_98bcfc113a4cc88197d6258c2cbd86be[[#This Row],[CurrencyCode]],3)</f>
        <v>MOP</v>
      </c>
    </row>
    <row r="101" spans="1:3" x14ac:dyDescent="0.3">
      <c r="A101" t="s">
        <v>99</v>
      </c>
      <c r="B101">
        <v>39.637211000000001</v>
      </c>
      <c r="C101" t="str">
        <f>RIGHT(latest?base_USD_access_key_98bcfc113a4cc88197d6258c2cbd86be[[#This Row],[CurrencyCode]],3)</f>
        <v>MRU</v>
      </c>
    </row>
    <row r="102" spans="1:3" x14ac:dyDescent="0.3">
      <c r="A102" t="s">
        <v>100</v>
      </c>
      <c r="B102">
        <v>46.950378000000001</v>
      </c>
      <c r="C102" t="str">
        <f>RIGHT(latest?base_USD_access_key_98bcfc113a4cc88197d6258c2cbd86be[[#This Row],[CurrencyCode]],3)</f>
        <v>MUR</v>
      </c>
    </row>
    <row r="103" spans="1:3" x14ac:dyDescent="0.3">
      <c r="A103" t="s">
        <v>101</v>
      </c>
      <c r="B103">
        <v>15.460378</v>
      </c>
      <c r="C103" t="str">
        <f>RIGHT(latest?base_USD_access_key_98bcfc113a4cc88197d6258c2cbd86be[[#This Row],[CurrencyCode]],3)</f>
        <v>MVR</v>
      </c>
    </row>
    <row r="104" spans="1:3" x14ac:dyDescent="0.3">
      <c r="A104" t="s">
        <v>102</v>
      </c>
      <c r="B104">
        <v>1730.0717179999999</v>
      </c>
      <c r="C104" t="str">
        <f>RIGHT(latest?base_USD_access_key_98bcfc113a4cc88197d6258c2cbd86be[[#This Row],[CurrencyCode]],3)</f>
        <v>MWK</v>
      </c>
    </row>
    <row r="105" spans="1:3" x14ac:dyDescent="0.3">
      <c r="A105" t="s">
        <v>103</v>
      </c>
      <c r="B105">
        <v>17.891704000000001</v>
      </c>
      <c r="C105" t="str">
        <f>RIGHT(latest?base_USD_access_key_98bcfc113a4cc88197d6258c2cbd86be[[#This Row],[CurrencyCode]],3)</f>
        <v>MXN</v>
      </c>
    </row>
    <row r="106" spans="1:3" x14ac:dyDescent="0.3">
      <c r="A106" t="s">
        <v>104</v>
      </c>
      <c r="B106">
        <v>4.0310389999999998</v>
      </c>
      <c r="C106" t="str">
        <f>RIGHT(latest?base_USD_access_key_98bcfc113a4cc88197d6258c2cbd86be[[#This Row],[CurrencyCode]],3)</f>
        <v>MYR</v>
      </c>
    </row>
    <row r="107" spans="1:3" x14ac:dyDescent="0.3">
      <c r="A107" t="s">
        <v>105</v>
      </c>
      <c r="B107">
        <v>63.950377000000003</v>
      </c>
      <c r="C107" t="str">
        <f>RIGHT(latest?base_USD_access_key_98bcfc113a4cc88197d6258c2cbd86be[[#This Row],[CurrencyCode]],3)</f>
        <v>MZN</v>
      </c>
    </row>
    <row r="108" spans="1:3" x14ac:dyDescent="0.3">
      <c r="A108" t="s">
        <v>106</v>
      </c>
      <c r="B108">
        <v>16.954711</v>
      </c>
      <c r="C108" t="str">
        <f>RIGHT(latest?base_USD_access_key_98bcfc113a4cc88197d6258c2cbd86be[[#This Row],[CurrencyCode]],3)</f>
        <v>NAD</v>
      </c>
    </row>
    <row r="109" spans="1:3" x14ac:dyDescent="0.3">
      <c r="A109" t="s">
        <v>107</v>
      </c>
      <c r="B109">
        <v>1378.130377</v>
      </c>
      <c r="C109" t="str">
        <f>RIGHT(latest?base_USD_access_key_98bcfc113a4cc88197d6258c2cbd86be[[#This Row],[CurrencyCode]],3)</f>
        <v>NGN</v>
      </c>
    </row>
    <row r="110" spans="1:3" x14ac:dyDescent="0.3">
      <c r="A110" t="s">
        <v>108</v>
      </c>
      <c r="B110">
        <v>36.712195999999999</v>
      </c>
      <c r="C110" t="str">
        <f>RIGHT(latest?base_USD_access_key_98bcfc113a4cc88197d6258c2cbd86be[[#This Row],[CurrencyCode]],3)</f>
        <v>NIO</v>
      </c>
    </row>
    <row r="111" spans="1:3" x14ac:dyDescent="0.3">
      <c r="A111" t="s">
        <v>109</v>
      </c>
      <c r="B111">
        <v>9.7726500000000005</v>
      </c>
      <c r="C111" t="str">
        <f>RIGHT(latest?base_USD_access_key_98bcfc113a4cc88197d6258c2cbd86be[[#This Row],[CurrencyCode]],3)</f>
        <v>NOK</v>
      </c>
    </row>
    <row r="112" spans="1:3" x14ac:dyDescent="0.3">
      <c r="A112" t="s">
        <v>110</v>
      </c>
      <c r="B112">
        <v>148.70128199999999</v>
      </c>
      <c r="C112" t="str">
        <f>RIGHT(latest?base_USD_access_key_98bcfc113a4cc88197d6258c2cbd86be[[#This Row],[CurrencyCode]],3)</f>
        <v>NPR</v>
      </c>
    </row>
    <row r="113" spans="1:3" x14ac:dyDescent="0.3">
      <c r="A113" t="s">
        <v>111</v>
      </c>
      <c r="B113">
        <v>1.7508539999999999</v>
      </c>
      <c r="C113" t="str">
        <f>RIGHT(latest?base_USD_access_key_98bcfc113a4cc88197d6258c2cbd86be[[#This Row],[CurrencyCode]],3)</f>
        <v>NZD</v>
      </c>
    </row>
    <row r="114" spans="1:3" x14ac:dyDescent="0.3">
      <c r="A114" t="s">
        <v>112</v>
      </c>
      <c r="B114">
        <v>0.38509700000000002</v>
      </c>
      <c r="C114" t="str">
        <f>RIGHT(latest?base_USD_access_key_98bcfc113a4cc88197d6258c2cbd86be[[#This Row],[CurrencyCode]],3)</f>
        <v>OMR</v>
      </c>
    </row>
    <row r="115" spans="1:3" x14ac:dyDescent="0.3">
      <c r="A115" t="s">
        <v>113</v>
      </c>
      <c r="B115">
        <v>0.99773400000000001</v>
      </c>
      <c r="C115" t="str">
        <f>RIGHT(latest?base_USD_access_key_98bcfc113a4cc88197d6258c2cbd86be[[#This Row],[CurrencyCode]],3)</f>
        <v>PAB</v>
      </c>
    </row>
    <row r="116" spans="1:3" x14ac:dyDescent="0.3">
      <c r="A116" t="s">
        <v>114</v>
      </c>
      <c r="B116">
        <v>3.45194</v>
      </c>
      <c r="C116" t="str">
        <f>RIGHT(latest?base_USD_access_key_98bcfc113a4cc88197d6258c2cbd86be[[#This Row],[CurrencyCode]],3)</f>
        <v>PEN</v>
      </c>
    </row>
    <row r="117" spans="1:3" x14ac:dyDescent="0.3">
      <c r="A117" t="s">
        <v>115</v>
      </c>
      <c r="B117">
        <v>4.3160420000000004</v>
      </c>
      <c r="C117" t="str">
        <f>RIGHT(latest?base_USD_access_key_98bcfc113a4cc88197d6258c2cbd86be[[#This Row],[CurrencyCode]],3)</f>
        <v>PGK</v>
      </c>
    </row>
    <row r="118" spans="1:3" x14ac:dyDescent="0.3">
      <c r="A118" t="s">
        <v>116</v>
      </c>
      <c r="B118">
        <v>60.409503999999998</v>
      </c>
      <c r="C118" t="str">
        <f>RIGHT(latest?base_USD_access_key_98bcfc113a4cc88197d6258c2cbd86be[[#This Row],[CurrencyCode]],3)</f>
        <v>PHP</v>
      </c>
    </row>
    <row r="119" spans="1:3" x14ac:dyDescent="0.3">
      <c r="A119" t="s">
        <v>117</v>
      </c>
      <c r="B119">
        <v>278.39990999999998</v>
      </c>
      <c r="C119" t="str">
        <f>RIGHT(latest?base_USD_access_key_98bcfc113a4cc88197d6258c2cbd86be[[#This Row],[CurrencyCode]],3)</f>
        <v>PKR</v>
      </c>
    </row>
    <row r="120" spans="1:3" x14ac:dyDescent="0.3">
      <c r="A120" t="s">
        <v>118</v>
      </c>
      <c r="B120">
        <v>3.7137500000000001</v>
      </c>
      <c r="C120" t="str">
        <f>RIGHT(latest?base_USD_access_key_98bcfc113a4cc88197d6258c2cbd86be[[#This Row],[CurrencyCode]],3)</f>
        <v>PLN</v>
      </c>
    </row>
    <row r="121" spans="1:3" x14ac:dyDescent="0.3">
      <c r="A121" t="s">
        <v>119</v>
      </c>
      <c r="B121">
        <v>6454.2968700000001</v>
      </c>
      <c r="C121" t="str">
        <f>RIGHT(latest?base_USD_access_key_98bcfc113a4cc88197d6258c2cbd86be[[#This Row],[CurrencyCode]],3)</f>
        <v>PYG</v>
      </c>
    </row>
    <row r="122" spans="1:3" x14ac:dyDescent="0.3">
      <c r="A122" t="s">
        <v>120</v>
      </c>
      <c r="B122">
        <v>3.6380180000000002</v>
      </c>
      <c r="C122" t="str">
        <f>RIGHT(latest?base_USD_access_key_98bcfc113a4cc88197d6258c2cbd86be[[#This Row],[CurrencyCode]],3)</f>
        <v>QAR</v>
      </c>
    </row>
    <row r="123" spans="1:3" x14ac:dyDescent="0.3">
      <c r="A123" t="s">
        <v>121</v>
      </c>
      <c r="B123">
        <v>4.4166040000000004</v>
      </c>
      <c r="C123" t="str">
        <f>RIGHT(latest?base_USD_access_key_98bcfc113a4cc88197d6258c2cbd86be[[#This Row],[CurrencyCode]],3)</f>
        <v>RON</v>
      </c>
    </row>
    <row r="124" spans="1:3" x14ac:dyDescent="0.3">
      <c r="A124" t="s">
        <v>122</v>
      </c>
      <c r="B124">
        <v>101.901662</v>
      </c>
      <c r="C124" t="str">
        <f>RIGHT(latest?base_USD_access_key_98bcfc113a4cc88197d6258c2cbd86be[[#This Row],[CurrencyCode]],3)</f>
        <v>RSD</v>
      </c>
    </row>
    <row r="125" spans="1:3" x14ac:dyDescent="0.3">
      <c r="A125" t="s">
        <v>123</v>
      </c>
      <c r="B125">
        <v>80.325738999999999</v>
      </c>
      <c r="C125" t="str">
        <f>RIGHT(latest?base_USD_access_key_98bcfc113a4cc88197d6258c2cbd86be[[#This Row],[CurrencyCode]],3)</f>
        <v>RUB</v>
      </c>
    </row>
    <row r="126" spans="1:3" x14ac:dyDescent="0.3">
      <c r="A126" t="s">
        <v>124</v>
      </c>
      <c r="B126">
        <v>1457.240049</v>
      </c>
      <c r="C126" t="str">
        <f>RIGHT(latest?base_USD_access_key_98bcfc113a4cc88197d6258c2cbd86be[[#This Row],[CurrencyCode]],3)</f>
        <v>RWF</v>
      </c>
    </row>
    <row r="127" spans="1:3" x14ac:dyDescent="0.3">
      <c r="A127" t="s">
        <v>125</v>
      </c>
      <c r="B127">
        <v>3.7545579999999998</v>
      </c>
      <c r="C127" t="str">
        <f>RIGHT(latest?base_USD_access_key_98bcfc113a4cc88197d6258c2cbd86be[[#This Row],[CurrencyCode]],3)</f>
        <v>SAR</v>
      </c>
    </row>
    <row r="128" spans="1:3" x14ac:dyDescent="0.3">
      <c r="A128" t="s">
        <v>126</v>
      </c>
      <c r="B128">
        <v>8.0387719999999998</v>
      </c>
      <c r="C128" t="str">
        <f>RIGHT(latest?base_USD_access_key_98bcfc113a4cc88197d6258c2cbd86be[[#This Row],[CurrencyCode]],3)</f>
        <v>SBD</v>
      </c>
    </row>
    <row r="129" spans="1:3" x14ac:dyDescent="0.3">
      <c r="A129" t="s">
        <v>127</v>
      </c>
      <c r="B129">
        <v>14.446904</v>
      </c>
      <c r="C129" t="str">
        <f>RIGHT(latest?base_USD_access_key_98bcfc113a4cc88197d6258c2cbd86be[[#This Row],[CurrencyCode]],3)</f>
        <v>SCR</v>
      </c>
    </row>
    <row r="130" spans="1:3" x14ac:dyDescent="0.3">
      <c r="A130" t="s">
        <v>128</v>
      </c>
      <c r="B130">
        <v>601.00033900000005</v>
      </c>
      <c r="C130" t="str">
        <f>RIGHT(latest?base_USD_access_key_98bcfc113a4cc88197d6258c2cbd86be[[#This Row],[CurrencyCode]],3)</f>
        <v>SDG</v>
      </c>
    </row>
    <row r="131" spans="1:3" x14ac:dyDescent="0.3">
      <c r="A131" t="s">
        <v>129</v>
      </c>
      <c r="B131">
        <v>9.4831040000000009</v>
      </c>
      <c r="C131" t="str">
        <f>RIGHT(latest?base_USD_access_key_98bcfc113a4cc88197d6258c2cbd86be[[#This Row],[CurrencyCode]],3)</f>
        <v>SEK</v>
      </c>
    </row>
    <row r="132" spans="1:3" x14ac:dyDescent="0.3">
      <c r="A132" t="s">
        <v>130</v>
      </c>
      <c r="B132">
        <v>1.2867040000000001</v>
      </c>
      <c r="C132" t="str">
        <f>RIGHT(latest?base_USD_access_key_98bcfc113a4cc88197d6258c2cbd86be[[#This Row],[CurrencyCode]],3)</f>
        <v>SGD</v>
      </c>
    </row>
    <row r="133" spans="1:3" x14ac:dyDescent="0.3">
      <c r="A133" t="s">
        <v>131</v>
      </c>
      <c r="B133">
        <v>0.75025900000000001</v>
      </c>
      <c r="C133" t="str">
        <f>RIGHT(latest?base_USD_access_key_98bcfc113a4cc88197d6258c2cbd86be[[#This Row],[CurrencyCode]],3)</f>
        <v>SHP</v>
      </c>
    </row>
    <row r="134" spans="1:3" x14ac:dyDescent="0.3">
      <c r="A134" t="s">
        <v>132</v>
      </c>
      <c r="B134">
        <v>24.650371</v>
      </c>
      <c r="C134" t="str">
        <f>RIGHT(latest?base_USD_access_key_98bcfc113a4cc88197d6258c2cbd86be[[#This Row],[CurrencyCode]],3)</f>
        <v>SLE</v>
      </c>
    </row>
    <row r="135" spans="1:3" x14ac:dyDescent="0.3">
      <c r="A135" t="s">
        <v>133</v>
      </c>
      <c r="B135">
        <v>20969.510825000001</v>
      </c>
      <c r="C135" t="str">
        <f>RIGHT(latest?base_USD_access_key_98bcfc113a4cc88197d6258c2cbd86be[[#This Row],[CurrencyCode]],3)</f>
        <v>SLL</v>
      </c>
    </row>
    <row r="136" spans="1:3" x14ac:dyDescent="0.3">
      <c r="A136" t="s">
        <v>134</v>
      </c>
      <c r="B136">
        <v>570.19292399999995</v>
      </c>
      <c r="C136" t="str">
        <f>RIGHT(latest?base_USD_access_key_98bcfc113a4cc88197d6258c2cbd86be[[#This Row],[CurrencyCode]],3)</f>
        <v>SOS</v>
      </c>
    </row>
    <row r="137" spans="1:3" x14ac:dyDescent="0.3">
      <c r="A137" t="s">
        <v>135</v>
      </c>
      <c r="B137">
        <v>37.351038000000003</v>
      </c>
      <c r="C137" t="str">
        <f>RIGHT(latest?base_USD_access_key_98bcfc113a4cc88197d6258c2cbd86be[[#This Row],[CurrencyCode]],3)</f>
        <v>SRD</v>
      </c>
    </row>
    <row r="138" spans="1:3" x14ac:dyDescent="0.3">
      <c r="A138" t="s">
        <v>136</v>
      </c>
      <c r="B138">
        <v>20697.981007999999</v>
      </c>
      <c r="C138" t="str">
        <f>RIGHT(latest?base_USD_access_key_98bcfc113a4cc88197d6258c2cbd86be[[#This Row],[CurrencyCode]],3)</f>
        <v>STD</v>
      </c>
    </row>
    <row r="139" spans="1:3" x14ac:dyDescent="0.3">
      <c r="A139" t="s">
        <v>137</v>
      </c>
      <c r="B139">
        <v>21.233539</v>
      </c>
      <c r="C139" t="str">
        <f>RIGHT(latest?base_USD_access_key_98bcfc113a4cc88197d6258c2cbd86be[[#This Row],[CurrencyCode]],3)</f>
        <v>STN</v>
      </c>
    </row>
    <row r="140" spans="1:3" x14ac:dyDescent="0.3">
      <c r="A140" t="s">
        <v>138</v>
      </c>
      <c r="B140">
        <v>8.7301690000000001</v>
      </c>
      <c r="C140" t="str">
        <f>RIGHT(latest?base_USD_access_key_98bcfc113a4cc88197d6258c2cbd86be[[#This Row],[CurrencyCode]],3)</f>
        <v>SVC</v>
      </c>
    </row>
    <row r="141" spans="1:3" x14ac:dyDescent="0.3">
      <c r="A141" t="s">
        <v>139</v>
      </c>
      <c r="B141">
        <v>110.63796000000001</v>
      </c>
      <c r="C141" t="str">
        <f>RIGHT(latest?base_USD_access_key_98bcfc113a4cc88197d6258c2cbd86be[[#This Row],[CurrencyCode]],3)</f>
        <v>SYP</v>
      </c>
    </row>
    <row r="142" spans="1:3" x14ac:dyDescent="0.3">
      <c r="A142" t="s">
        <v>140</v>
      </c>
      <c r="B142">
        <v>16.948198000000001</v>
      </c>
      <c r="C142" t="str">
        <f>RIGHT(latest?base_USD_access_key_98bcfc113a4cc88197d6258c2cbd86be[[#This Row],[CurrencyCode]],3)</f>
        <v>SZL</v>
      </c>
    </row>
    <row r="143" spans="1:3" x14ac:dyDescent="0.3">
      <c r="A143" t="s">
        <v>141</v>
      </c>
      <c r="B143">
        <v>32.635038000000002</v>
      </c>
      <c r="C143" t="str">
        <f>RIGHT(latest?base_USD_access_key_98bcfc113a4cc88197d6258c2cbd86be[[#This Row],[CurrencyCode]],3)</f>
        <v>THB</v>
      </c>
    </row>
    <row r="144" spans="1:3" x14ac:dyDescent="0.3">
      <c r="A144" t="s">
        <v>142</v>
      </c>
      <c r="B144">
        <v>9.5634920000000001</v>
      </c>
      <c r="C144" t="str">
        <f>RIGHT(latest?base_USD_access_key_98bcfc113a4cc88197d6258c2cbd86be[[#This Row],[CurrencyCode]],3)</f>
        <v>TJS</v>
      </c>
    </row>
    <row r="145" spans="1:3" x14ac:dyDescent="0.3">
      <c r="A145" t="s">
        <v>143</v>
      </c>
      <c r="B145">
        <v>3.51</v>
      </c>
      <c r="C145" t="str">
        <f>RIGHT(latest?base_USD_access_key_98bcfc113a4cc88197d6258c2cbd86be[[#This Row],[CurrencyCode]],3)</f>
        <v>TMT</v>
      </c>
    </row>
    <row r="146" spans="1:3" x14ac:dyDescent="0.3">
      <c r="A146" t="s">
        <v>144</v>
      </c>
      <c r="B146">
        <v>2.941459</v>
      </c>
      <c r="C146" t="str">
        <f>RIGHT(latest?base_USD_access_key_98bcfc113a4cc88197d6258c2cbd86be[[#This Row],[CurrencyCode]],3)</f>
        <v>TND</v>
      </c>
    </row>
    <row r="147" spans="1:3" x14ac:dyDescent="0.3">
      <c r="A147" t="s">
        <v>145</v>
      </c>
      <c r="B147">
        <v>2.4077600000000001</v>
      </c>
      <c r="C147" t="str">
        <f>RIGHT(latest?base_USD_access_key_98bcfc113a4cc88197d6258c2cbd86be[[#This Row],[CurrencyCode]],3)</f>
        <v>TOP</v>
      </c>
    </row>
    <row r="148" spans="1:3" x14ac:dyDescent="0.3">
      <c r="A148" t="s">
        <v>146</v>
      </c>
      <c r="B148">
        <v>44.520504000000003</v>
      </c>
      <c r="C148" t="str">
        <f>RIGHT(latest?base_USD_access_key_98bcfc113a4cc88197d6258c2cbd86be[[#This Row],[CurrencyCode]],3)</f>
        <v>TRY</v>
      </c>
    </row>
    <row r="149" spans="1:3" x14ac:dyDescent="0.3">
      <c r="A149" t="s">
        <v>147</v>
      </c>
      <c r="B149">
        <v>6.7689370000000002</v>
      </c>
      <c r="C149" t="str">
        <f>RIGHT(latest?base_USD_access_key_98bcfc113a4cc88197d6258c2cbd86be[[#This Row],[CurrencyCode]],3)</f>
        <v>TTD</v>
      </c>
    </row>
    <row r="150" spans="1:3" x14ac:dyDescent="0.3">
      <c r="A150" t="s">
        <v>148</v>
      </c>
      <c r="B150">
        <v>31.995038000000001</v>
      </c>
      <c r="C150" t="str">
        <f>RIGHT(latest?base_USD_access_key_98bcfc113a4cc88197d6258c2cbd86be[[#This Row],[CurrencyCode]],3)</f>
        <v>TWD</v>
      </c>
    </row>
    <row r="151" spans="1:3" x14ac:dyDescent="0.3">
      <c r="A151" t="s">
        <v>149</v>
      </c>
      <c r="B151">
        <v>2600.0003350000002</v>
      </c>
      <c r="C151" t="str">
        <f>RIGHT(latest?base_USD_access_key_98bcfc113a4cc88197d6258c2cbd86be[[#This Row],[CurrencyCode]],3)</f>
        <v>TZS</v>
      </c>
    </row>
    <row r="152" spans="1:3" x14ac:dyDescent="0.3">
      <c r="A152" t="s">
        <v>150</v>
      </c>
      <c r="B152">
        <v>43.698134000000003</v>
      </c>
      <c r="C152" t="str">
        <f>RIGHT(latest?base_USD_access_key_98bcfc113a4cc88197d6258c2cbd86be[[#This Row],[CurrencyCode]],3)</f>
        <v>UAH</v>
      </c>
    </row>
    <row r="153" spans="1:3" x14ac:dyDescent="0.3">
      <c r="A153" t="s">
        <v>151</v>
      </c>
      <c r="B153">
        <v>3743.2344010000002</v>
      </c>
      <c r="C153" t="str">
        <f>RIGHT(latest?base_USD_access_key_98bcfc113a4cc88197d6258c2cbd86be[[#This Row],[CurrencyCode]],3)</f>
        <v>UGX</v>
      </c>
    </row>
    <row r="154" spans="1:3" x14ac:dyDescent="0.3">
      <c r="A154" t="s">
        <v>152</v>
      </c>
      <c r="B154">
        <v>40.405090999999999</v>
      </c>
      <c r="C154" t="str">
        <f>RIGHT(latest?base_USD_access_key_98bcfc113a4cc88197d6258c2cbd86be[[#This Row],[CurrencyCode]],3)</f>
        <v>UYU</v>
      </c>
    </row>
    <row r="155" spans="1:3" x14ac:dyDescent="0.3">
      <c r="A155" t="s">
        <v>153</v>
      </c>
      <c r="B155">
        <v>12122.393971</v>
      </c>
      <c r="C155" t="str">
        <f>RIGHT(latest?base_USD_access_key_98bcfc113a4cc88197d6258c2cbd86be[[#This Row],[CurrencyCode]],3)</f>
        <v>UZS</v>
      </c>
    </row>
    <row r="156" spans="1:3" x14ac:dyDescent="0.3">
      <c r="A156" t="s">
        <v>154</v>
      </c>
      <c r="B156">
        <v>473.39050400000002</v>
      </c>
      <c r="C156" t="str">
        <f>RIGHT(latest?base_USD_access_key_98bcfc113a4cc88197d6258c2cbd86be[[#This Row],[CurrencyCode]],3)</f>
        <v>VES</v>
      </c>
    </row>
    <row r="157" spans="1:3" x14ac:dyDescent="0.3">
      <c r="A157" t="s">
        <v>155</v>
      </c>
      <c r="B157">
        <v>26340</v>
      </c>
      <c r="C157" t="str">
        <f>RIGHT(latest?base_USD_access_key_98bcfc113a4cc88197d6258c2cbd86be[[#This Row],[CurrencyCode]],3)</f>
        <v>VND</v>
      </c>
    </row>
    <row r="158" spans="1:3" x14ac:dyDescent="0.3">
      <c r="A158" t="s">
        <v>156</v>
      </c>
      <c r="B158">
        <v>119.00311000000001</v>
      </c>
      <c r="C158" t="str">
        <f>RIGHT(latest?base_USD_access_key_98bcfc113a4cc88197d6258c2cbd86be[[#This Row],[CurrencyCode]],3)</f>
        <v>VUV</v>
      </c>
    </row>
    <row r="159" spans="1:3" x14ac:dyDescent="0.3">
      <c r="A159" t="s">
        <v>157</v>
      </c>
      <c r="B159">
        <v>2.766273</v>
      </c>
      <c r="C159" t="str">
        <f>RIGHT(latest?base_USD_access_key_98bcfc113a4cc88197d6258c2cbd86be[[#This Row],[CurrencyCode]],3)</f>
        <v>WST</v>
      </c>
    </row>
    <row r="160" spans="1:3" x14ac:dyDescent="0.3">
      <c r="A160" t="s">
        <v>158</v>
      </c>
      <c r="B160">
        <v>568.50648899999999</v>
      </c>
      <c r="C160" t="str">
        <f>RIGHT(latest?base_USD_access_key_98bcfc113a4cc88197d6258c2cbd86be[[#This Row],[CurrencyCode]],3)</f>
        <v>XAF</v>
      </c>
    </row>
    <row r="161" spans="1:3" x14ac:dyDescent="0.3">
      <c r="A161" t="s">
        <v>159</v>
      </c>
      <c r="B161">
        <v>1.3693E-2</v>
      </c>
      <c r="C161" t="str">
        <f>RIGHT(latest?base_USD_access_key_98bcfc113a4cc88197d6258c2cbd86be[[#This Row],[CurrencyCode]],3)</f>
        <v>XAG</v>
      </c>
    </row>
    <row r="162" spans="1:3" x14ac:dyDescent="0.3">
      <c r="A162" t="s">
        <v>160</v>
      </c>
      <c r="B162">
        <v>2.14E-4</v>
      </c>
      <c r="C162" t="str">
        <f>RIGHT(latest?base_USD_access_key_98bcfc113a4cc88197d6258c2cbd86be[[#This Row],[CurrencyCode]],3)</f>
        <v>XAU</v>
      </c>
    </row>
    <row r="163" spans="1:3" x14ac:dyDescent="0.3">
      <c r="A163" t="s">
        <v>161</v>
      </c>
      <c r="B163">
        <v>2.70255</v>
      </c>
      <c r="C163" t="str">
        <f>RIGHT(latest?base_USD_access_key_98bcfc113a4cc88197d6258c2cbd86be[[#This Row],[CurrencyCode]],3)</f>
        <v>XCD</v>
      </c>
    </row>
    <row r="164" spans="1:3" x14ac:dyDescent="0.3">
      <c r="A164" t="s">
        <v>162</v>
      </c>
      <c r="B164">
        <v>1.7982089999999999</v>
      </c>
      <c r="C164" t="str">
        <f>RIGHT(latest?base_USD_access_key_98bcfc113a4cc88197d6258c2cbd86be[[#This Row],[CurrencyCode]],3)</f>
        <v>XCG</v>
      </c>
    </row>
    <row r="165" spans="1:3" x14ac:dyDescent="0.3">
      <c r="A165" t="s">
        <v>163</v>
      </c>
      <c r="B165">
        <v>0.70806800000000003</v>
      </c>
      <c r="C165" t="str">
        <f>RIGHT(latest?base_USD_access_key_98bcfc113a4cc88197d6258c2cbd86be[[#This Row],[CurrencyCode]],3)</f>
        <v>XDR</v>
      </c>
    </row>
    <row r="166" spans="1:3" x14ac:dyDescent="0.3">
      <c r="A166" t="s">
        <v>164</v>
      </c>
      <c r="B166">
        <v>568.516344</v>
      </c>
      <c r="C166" t="str">
        <f>RIGHT(latest?base_USD_access_key_98bcfc113a4cc88197d6258c2cbd86be[[#This Row],[CurrencyCode]],3)</f>
        <v>XOF</v>
      </c>
    </row>
    <row r="167" spans="1:3" x14ac:dyDescent="0.3">
      <c r="A167" t="s">
        <v>165</v>
      </c>
      <c r="B167">
        <v>103.361457</v>
      </c>
      <c r="C167" t="str">
        <f>RIGHT(latest?base_USD_access_key_98bcfc113a4cc88197d6258c2cbd86be[[#This Row],[CurrencyCode]],3)</f>
        <v>XPF</v>
      </c>
    </row>
    <row r="168" spans="1:3" x14ac:dyDescent="0.3">
      <c r="A168" t="s">
        <v>166</v>
      </c>
      <c r="B168">
        <v>238.650363</v>
      </c>
      <c r="C168" t="str">
        <f>RIGHT(latest?base_USD_access_key_98bcfc113a4cc88197d6258c2cbd86be[[#This Row],[CurrencyCode]],3)</f>
        <v>YER</v>
      </c>
    </row>
    <row r="169" spans="1:3" x14ac:dyDescent="0.3">
      <c r="A169" t="s">
        <v>167</v>
      </c>
      <c r="B169">
        <v>16.972864999999999</v>
      </c>
      <c r="C169" t="str">
        <f>RIGHT(latest?base_USD_access_key_98bcfc113a4cc88197d6258c2cbd86be[[#This Row],[CurrencyCode]],3)</f>
        <v>ZAR</v>
      </c>
    </row>
    <row r="170" spans="1:3" x14ac:dyDescent="0.3">
      <c r="A170" t="s">
        <v>168</v>
      </c>
      <c r="B170">
        <v>9001.2035840000008</v>
      </c>
      <c r="C170" t="str">
        <f>RIGHT(latest?base_USD_access_key_98bcfc113a4cc88197d6258c2cbd86be[[#This Row],[CurrencyCode]],3)</f>
        <v>ZMK</v>
      </c>
    </row>
    <row r="171" spans="1:3" x14ac:dyDescent="0.3">
      <c r="A171" t="s">
        <v>169</v>
      </c>
      <c r="B171">
        <v>19.281421000000002</v>
      </c>
      <c r="C171" t="str">
        <f>RIGHT(latest?base_USD_access_key_98bcfc113a4cc88197d6258c2cbd86be[[#This Row],[CurrencyCode]],3)</f>
        <v>ZMW</v>
      </c>
    </row>
    <row r="172" spans="1:3" x14ac:dyDescent="0.3">
      <c r="A172" t="s">
        <v>170</v>
      </c>
      <c r="B172">
        <v>321.99959200000001</v>
      </c>
      <c r="C172" t="str">
        <f>RIGHT(latest?base_USD_access_key_98bcfc113a4cc88197d6258c2cbd86be[[#This Row],[CurrencyCode]],3)</f>
        <v>ZWL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BD9B8-0478-421A-B5FB-0A6C2EF1CEBC}">
  <dimension ref="A1:F18"/>
  <sheetViews>
    <sheetView workbookViewId="0">
      <selection activeCell="D2" sqref="D2"/>
    </sheetView>
  </sheetViews>
  <sheetFormatPr defaultRowHeight="14.4" x14ac:dyDescent="0.3"/>
  <cols>
    <col min="1" max="1" width="28.77734375" bestFit="1" customWidth="1"/>
    <col min="3" max="3" width="11.88671875" bestFit="1" customWidth="1"/>
    <col min="4" max="4" width="21.109375" bestFit="1" customWidth="1"/>
    <col min="5" max="5" width="19.6640625" bestFit="1" customWidth="1"/>
    <col min="6" max="6" width="38.33203125" customWidth="1"/>
    <col min="7" max="7" width="34" customWidth="1"/>
  </cols>
  <sheetData>
    <row r="1" spans="1:6" x14ac:dyDescent="0.3">
      <c r="A1" t="s">
        <v>173</v>
      </c>
      <c r="B1" t="s">
        <v>174</v>
      </c>
      <c r="C1" t="s">
        <v>175</v>
      </c>
      <c r="D1" t="s">
        <v>188</v>
      </c>
      <c r="E1" t="s">
        <v>189</v>
      </c>
      <c r="F1" s="5" t="s">
        <v>190</v>
      </c>
    </row>
    <row r="2" spans="1:6" x14ac:dyDescent="0.3">
      <c r="A2" t="s">
        <v>176</v>
      </c>
      <c r="B2" t="s">
        <v>177</v>
      </c>
      <c r="C2">
        <v>1200</v>
      </c>
      <c r="D2">
        <f>ROUND($C2*_xlfn.XLOOKUP($B$9,API_Data!C:C,API_Data!B:B,""),2)</f>
        <v>111287.94</v>
      </c>
      <c r="E2">
        <f>ROUND($C2 * INDEX(API_Data!B:B,MATCH(Sheet1!$B$9,API_Data!C:C)),2)</f>
        <v>111287.94</v>
      </c>
      <c r="F2" s="5" t="str">
        <f>IF(C2&gt;=MEDIAN(C2:C6),"HighValue","Normal")</f>
        <v>HighValue</v>
      </c>
    </row>
    <row r="3" spans="1:6" x14ac:dyDescent="0.3">
      <c r="A3" t="s">
        <v>178</v>
      </c>
      <c r="B3" t="s">
        <v>179</v>
      </c>
      <c r="C3">
        <v>850</v>
      </c>
      <c r="D3">
        <f>ROUND($C3*_xlfn.XLOOKUP($B$9,API_Data!C:C,API_Data!B:B,""),2)</f>
        <v>78828.960000000006</v>
      </c>
      <c r="E3">
        <f>ROUND($C3 * INDEX(API_Data!B:B,MATCH(Sheet1!$B$9,API_Data!C:C)),2)</f>
        <v>78828.960000000006</v>
      </c>
      <c r="F3" s="5" t="str">
        <f t="shared" ref="F3:F6" si="0">IF(C3&gt;=MEDIAN(C3:C7),"HighValue","Normal")</f>
        <v>Normal</v>
      </c>
    </row>
    <row r="4" spans="1:6" x14ac:dyDescent="0.3">
      <c r="A4" t="s">
        <v>180</v>
      </c>
      <c r="B4" t="s">
        <v>181</v>
      </c>
      <c r="C4">
        <v>2000</v>
      </c>
      <c r="D4">
        <f>ROUND($C4*_xlfn.XLOOKUP($B$9,API_Data!C:C,API_Data!B:B,""),2)</f>
        <v>185479.9</v>
      </c>
      <c r="E4">
        <f>ROUND($C4 * INDEX(API_Data!B:B,MATCH(Sheet1!$B$9,API_Data!C:C)),2)</f>
        <v>185479.9</v>
      </c>
      <c r="F4" s="5" t="str">
        <f t="shared" si="0"/>
        <v>HighValue</v>
      </c>
    </row>
    <row r="5" spans="1:6" x14ac:dyDescent="0.3">
      <c r="A5" t="s">
        <v>182</v>
      </c>
      <c r="B5" t="s">
        <v>183</v>
      </c>
      <c r="C5">
        <v>450</v>
      </c>
      <c r="D5">
        <f>ROUND($C5*_xlfn.XLOOKUP($B$9,API_Data!C:C,API_Data!B:B,""),2)</f>
        <v>41732.980000000003</v>
      </c>
      <c r="E5">
        <f>ROUND($C5 * INDEX(API_Data!B:B,MATCH(Sheet1!$B$9,API_Data!C:C)),2)</f>
        <v>41732.980000000003</v>
      </c>
      <c r="F5" s="5" t="str">
        <f t="shared" si="0"/>
        <v>Normal</v>
      </c>
    </row>
    <row r="6" spans="1:6" x14ac:dyDescent="0.3">
      <c r="A6" t="s">
        <v>184</v>
      </c>
      <c r="B6" t="s">
        <v>185</v>
      </c>
      <c r="C6">
        <v>1750</v>
      </c>
      <c r="D6">
        <f>ROUND($C6*_xlfn.XLOOKUP($B$9,API_Data!C:C,API_Data!B:B,""),2)</f>
        <v>162294.91</v>
      </c>
      <c r="E6">
        <f>ROUND($C6 * INDEX(API_Data!B:B,MATCH(Sheet1!$B$9,API_Data!C:C)),2)</f>
        <v>162294.91</v>
      </c>
      <c r="F6" s="5" t="str">
        <f t="shared" si="0"/>
        <v>HighValue</v>
      </c>
    </row>
    <row r="7" spans="1:6" x14ac:dyDescent="0.3">
      <c r="F7" s="7" t="s">
        <v>196</v>
      </c>
    </row>
    <row r="9" spans="1:6" x14ac:dyDescent="0.3">
      <c r="B9" t="s">
        <v>186</v>
      </c>
      <c r="E9" t="s">
        <v>195</v>
      </c>
    </row>
    <row r="10" spans="1:6" x14ac:dyDescent="0.3">
      <c r="D10" s="1" t="str">
        <f>INDEX(B2:B6,MATCH(MAX(C2:C6),C2:C6,0))</f>
        <v>Lakshmi</v>
      </c>
      <c r="E10" s="1" t="s">
        <v>194</v>
      </c>
    </row>
    <row r="11" spans="1:6" x14ac:dyDescent="0.3">
      <c r="D11" s="2" cm="1">
        <f t="array" ref="D11">COUNT(IF((C2:C6&gt;1500)+(D2:D6&gt;100000),1))</f>
        <v>3</v>
      </c>
      <c r="E11" s="2" t="s">
        <v>191</v>
      </c>
    </row>
    <row r="12" spans="1:6" x14ac:dyDescent="0.3">
      <c r="D12" s="3" cm="1">
        <f t="array" ref="D12">COUNTA(_xlfn._xlws.FILTER(C2:C6, (C2:C6&gt;1500) + (D2:D6&gt;100000)))</f>
        <v>3</v>
      </c>
      <c r="E12" s="3" t="s">
        <v>192</v>
      </c>
    </row>
    <row r="13" spans="1:6" x14ac:dyDescent="0.3">
      <c r="D13" s="4">
        <f>COUNTIFS(C2:C6,"&gt;1500") + COUNTIFS(D2:D6,"&gt;100000") - COUNTIFS(C2:C6,"&gt;1500",D2:D6,"&gt;100000")</f>
        <v>3</v>
      </c>
      <c r="E13" s="4" t="s">
        <v>193</v>
      </c>
    </row>
    <row r="18" spans="6:6" x14ac:dyDescent="0.3">
      <c r="F18" s="6"/>
    </row>
  </sheetData>
  <dataConsolidate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0A8FD6B-8A92-431E-B890-F4F7ED3B5839}">
          <x14:formula1>
            <xm:f>API_Data!$C$2:$C$172</xm:f>
          </x14:formula1>
          <xm:sqref>B9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42EC685-263A-4A4F-A791-B3CA88DD455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API_Data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Danish Adnaan</dc:creator>
  <cp:lastModifiedBy>Danish Adnaan</cp:lastModifiedBy>
  <dcterms:created xsi:type="dcterms:W3CDTF">2026-04-05T11:09:57Z</dcterms:created>
  <dcterms:modified xsi:type="dcterms:W3CDTF">2026-04-05T20:13:33Z</dcterms:modified>
</cp:coreProperties>
</file>