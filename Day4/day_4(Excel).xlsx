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is\OneDrive\Desktop\Learning_Challenge\PowerBI_or_Excel\"/>
    </mc:Choice>
  </mc:AlternateContent>
  <xr:revisionPtr revIDLastSave="0" documentId="8_{6AA965C6-E766-4E63-B537-B62BA5E1DD54}" xr6:coauthVersionLast="47" xr6:coauthVersionMax="47" xr10:uidLastSave="{00000000-0000-0000-0000-000000000000}"/>
  <bookViews>
    <workbookView xWindow="-108" yWindow="-108" windowWidth="23256" windowHeight="12456" xr2:uid="{17977A29-4B13-4B22-B994-067E7AD70181}"/>
  </bookViews>
  <sheets>
    <sheet name="Sheet1" sheetId="1" r:id="rId1"/>
  </sheets>
  <calcPr calcId="191029"/>
  <pivotCaches>
    <pivotCache cacheId="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<sst xmlns="http://schemas.openxmlformats.org/spreadsheetml/2006/main" count="63" uniqueCount="31">
  <si>
    <t>EmpID</t>
  </si>
  <si>
    <t>EmpName</t>
  </si>
  <si>
    <t>Department</t>
  </si>
  <si>
    <t>Date</t>
  </si>
  <si>
    <t>CheckIn</t>
  </si>
  <si>
    <t>CheckOut</t>
  </si>
  <si>
    <t>E001</t>
  </si>
  <si>
    <t>Asha</t>
  </si>
  <si>
    <t>Sales</t>
  </si>
  <si>
    <t>E002</t>
  </si>
  <si>
    <t>Rohit</t>
  </si>
  <si>
    <t>E003</t>
  </si>
  <si>
    <t>Lakshmi</t>
  </si>
  <si>
    <t>Support</t>
  </si>
  <si>
    <t>E004</t>
  </si>
  <si>
    <t>Imran</t>
  </si>
  <si>
    <t>Tech</t>
  </si>
  <si>
    <t>E005</t>
  </si>
  <si>
    <t>Neha</t>
  </si>
  <si>
    <t>WorkedHours</t>
  </si>
  <si>
    <t>OverTime</t>
  </si>
  <si>
    <t>Row Labels</t>
  </si>
  <si>
    <t>Grand Total</t>
  </si>
  <si>
    <t>Sum of OverTime</t>
  </si>
  <si>
    <t>Total Overtime</t>
  </si>
  <si>
    <t>Total WorkedHours</t>
  </si>
  <si>
    <t>Average of WorkedHours</t>
  </si>
  <si>
    <r>
      <t>Which </t>
    </r>
    <r>
      <rPr>
        <sz val="10"/>
        <color theme="1"/>
        <rFont val="Georgia"/>
        <family val="1"/>
      </rPr>
      <t>employee</t>
    </r>
    <r>
      <rPr>
        <sz val="10"/>
        <color theme="1"/>
        <rFont val="Georgia"/>
        <family val="1"/>
      </rPr>
      <t> has the highest total overtime across these two days?</t>
    </r>
  </si>
  <si>
    <t>Ans : Imran</t>
  </si>
  <si>
    <r>
      <t>Which </t>
    </r>
    <r>
      <rPr>
        <sz val="10"/>
        <color theme="1"/>
        <rFont val="Georgia"/>
        <family val="1"/>
      </rPr>
      <t>department</t>
    </r>
    <r>
      <rPr>
        <sz val="10"/>
        <color theme="1"/>
        <rFont val="Georgia"/>
        <family val="1"/>
      </rPr>
      <t> has the highest average WorkedHours?</t>
    </r>
  </si>
  <si>
    <t>Ans :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</si>
</sst>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-F400]h:mm:ss\ AM/PM"/>
    <numFmt numFmtId="166" formatCode="[$-14009]hh:mm;@"/>
    <numFmt numFmtId="168" formatCode="[$-14009]h:mm;@"/>
    <numFmt numFmtId="169" formatCode="[h]: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eorgia"/>
      <family val="1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166" fontId="0" fillId="0" borderId="0" xfId="0" applyNumberFormat="1"/>
    <xf numFmtId="164" fontId="0" fillId="0" borderId="0" xfId="1" applyNumberFormat="1" applyFont="1"/>
    <xf numFmtId="168" fontId="0" fillId="0" borderId="0" xfId="0" applyNumberFormat="1"/>
    <xf numFmtId="169" fontId="0" fillId="0" borderId="0" xfId="0" applyNumberFormat="1"/>
    <xf numFmtId="169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2" fillId="0" borderId="0" xfId="0" applyFont="1" applyAlignment="1">
      <alignment horizontal="left" vertical="center"/>
    </xf>
    <xf numFmtId="164" fontId="0" fillId="0" borderId="0" xfId="1" applyNumberFormat="1" applyFont="1" applyAlignment="1"/>
    <xf numFmtId="168" fontId="0" fillId="0" borderId="0" xfId="0" applyNumberFormat="1" applyAlignment="1"/>
    <xf numFmtId="0" fontId="2" fillId="0" borderId="0" xfId="0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[day_4(Excel).xlsx]Sheet1!PivotTable3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 Name vs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Sheet1!$E$16:$E$21</c:f>
              <c:strCache>
                <c:ptCount val="5"/>
                <c:pt idx="0">
                  <c:v>Asha</c:v>
                </c:pt>
                <c:pt idx="1">
                  <c:v>Imran</c:v>
                </c:pt>
                <c:pt idx="2">
                  <c:v>Lakshmi</c:v>
                </c:pt>
                <c:pt idx="3">
                  <c:v>Neha</c:v>
                </c:pt>
                <c:pt idx="4">
                  <c:v>Rohit</c:v>
                </c:pt>
              </c:strCache>
            </c:strRef>
          </c:cat>
          <c:val>
            <c:numRef>
              <c:f>Sheet1!$F$16:$F$21</c:f>
              <c:numCache>
                <c:formatCode>[$-14009]hh:mm;@</c:formatCode>
                <c:ptCount val="5"/>
                <c:pt idx="0">
                  <c:v>7.2916666666666671E-2</c:v>
                </c:pt>
                <c:pt idx="1">
                  <c:v>0.1111111111111111</c:v>
                </c:pt>
                <c:pt idx="2">
                  <c:v>9.7222222222222224E-2</c:v>
                </c:pt>
                <c:pt idx="3">
                  <c:v>6.9444444444444448E-2</c:v>
                </c:pt>
                <c:pt idx="4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6-4C48-AE42-936AB2B9F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353743"/>
        <c:axId val="782352783"/>
      </c:barChart>
      <c:catAx>
        <c:axId val="78235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52783"/>
        <c:crosses val="autoZero"/>
        <c:auto val="1"/>
        <c:lblAlgn val="ctr"/>
        <c:lblOffset val="100"/>
        <c:noMultiLvlLbl val="0"/>
      </c:catAx>
      <c:valAx>
        <c:axId val="7823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14009]h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35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182880</xdr:colOff>
      <xdr:row>11</xdr:row>
      <xdr:rowOff>160020</xdr:rowOff>
    </xdr:from>
    <xdr:to>
      <xdr:col>11</xdr:col>
      <xdr:colOff>434340</xdr:colOff>
      <xdr:row>23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4E9936-542A-8145-8227-5E633D93C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sh Adnaan" refreshedDate="46112.682776388887" createdVersion="8" refreshedVersion="8" minRefreshableVersion="3" recordCount="10" xr:uid="{8933A268-6644-4A94-A5D1-0A37CFCEB3C1}">
  <cacheSource type="worksheet">
    <worksheetSource ref="A1:H11" sheet="Sheet1"/>
  </cacheSource>
  <cacheFields count="12">
    <cacheField name="EmpID" numFmtId="0">
      <sharedItems/>
    </cacheField>
    <cacheField name="EmpName" numFmtId="0">
      <sharedItems count="5">
        <s v="Asha"/>
        <s v="Rohit"/>
        <s v="Lakshmi"/>
        <s v="Imran"/>
        <s v="Neha"/>
      </sharedItems>
    </cacheField>
    <cacheField name="Department" numFmtId="0">
      <sharedItems count="3">
        <s v="Sales"/>
        <s v="Support"/>
        <s v="Tech"/>
      </sharedItems>
    </cacheField>
    <cacheField name="Date" numFmtId="14">
      <sharedItems containsSemiMixedTypes="0" containsNonDate="0" containsDate="1" containsString="0" minDate="2025-03-01T00:00:00" maxDate="2025-03-03T00:00:00"/>
    </cacheField>
    <cacheField name="CheckIn" numFmtId="166">
      <sharedItems containsSemiMixedTypes="0" containsNonDate="0" containsDate="1" containsString="0" minDate="1899-12-30T08:45:00" maxDate="1899-12-30T10:05:00"/>
    </cacheField>
    <cacheField name="CheckOut" numFmtId="166">
      <sharedItems containsSemiMixedTypes="0" containsNonDate="0" containsDate="1" containsString="0" minDate="1899-12-30T17:15:00" maxDate="1899-12-30T19:30:00"/>
    </cacheField>
    <cacheField name="WorkedHours" numFmtId="169">
      <sharedItems containsSemiMixedTypes="0" containsNonDate="0" containsDate="1" containsString="0" minDate="1899-12-30T08:20:00" maxDate="1899-12-30T09:50:00" count="8">
        <d v="1899-12-30T08:55:00"/>
        <d v="1899-12-30T08:20:00"/>
        <d v="1899-12-30T09:50:00"/>
        <d v="1899-12-30T09:05:00"/>
        <d v="1899-12-30T08:30:00"/>
        <d v="1899-12-30T08:50:00"/>
        <d v="1899-12-30T09:10:00"/>
        <d v="1899-12-30T09:35:00"/>
      </sharedItems>
      <fieldGroup par="9"/>
    </cacheField>
    <cacheField name="OverTime" numFmtId="164">
      <sharedItems containsSemiMixedTypes="0" containsNonDate="0" containsDate="1" containsString="0" minDate="1899-12-30T00:20:00" maxDate="1899-12-30T01:50:00" count="8">
        <d v="1899-12-30T00:55:00"/>
        <d v="1899-12-30T00:20:00"/>
        <d v="1899-12-30T01:50:00"/>
        <d v="1899-12-30T01:05:00"/>
        <d v="1899-12-30T00:30:00"/>
        <d v="1899-12-30T00:50:00"/>
        <d v="1899-12-30T01:10:00"/>
        <d v="1899-12-30T01:35:00"/>
      </sharedItems>
      <fieldGroup par="11"/>
    </cacheField>
    <cacheField name="Minutes (WorkedHours)" numFmtId="0" databaseField="0">
      <fieldGroup base="6">
        <rangePr groupBy="minutes" startDate="1899-12-30T08:20:00" endDate="1899-12-30T09:50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WorkedHours)" numFmtId="0" databaseField="0">
      <fieldGroup base="6">
        <rangePr groupBy="hours" startDate="1899-12-30T08:20:00" endDate="1899-12-30T09:5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  <cacheField name="Minutes (OverTime)" numFmtId="0" databaseField="0">
      <fieldGroup base="7">
        <rangePr groupBy="minutes" startDate="1899-12-30T00:20:00" endDate="1899-12-30T01:50:00"/>
        <groupItems count="62">
          <s v="&lt;00-01-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-01-1900"/>
        </groupItems>
      </fieldGroup>
    </cacheField>
    <cacheField name="Hours (OverTime)" numFmtId="0" databaseField="0">
      <fieldGroup base="7">
        <rangePr groupBy="hours" startDate="1899-12-30T00:20:00" endDate="1899-12-30T01:5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E001"/>
    <x v="0"/>
    <x v="0"/>
    <d v="2025-03-01T00:00:00"/>
    <d v="1899-12-30T09:10:00"/>
    <d v="1899-12-30T18:05:00"/>
    <x v="0"/>
    <x v="0"/>
  </r>
  <r>
    <s v="E002"/>
    <x v="1"/>
    <x v="0"/>
    <d v="2025-03-01T00:00:00"/>
    <d v="1899-12-30T09:00:00"/>
    <d v="1899-12-30T17:20:00"/>
    <x v="1"/>
    <x v="1"/>
  </r>
  <r>
    <s v="E003"/>
    <x v="2"/>
    <x v="1"/>
    <d v="2025-03-01T00:00:00"/>
    <d v="1899-12-30T08:50:00"/>
    <d v="1899-12-30T18:40:00"/>
    <x v="2"/>
    <x v="2"/>
  </r>
  <r>
    <s v="E004"/>
    <x v="3"/>
    <x v="2"/>
    <d v="2025-03-01T00:00:00"/>
    <d v="1899-12-30T10:05:00"/>
    <d v="1899-12-30T19:10:00"/>
    <x v="3"/>
    <x v="3"/>
  </r>
  <r>
    <s v="E005"/>
    <x v="4"/>
    <x v="2"/>
    <d v="2025-03-01T00:00:00"/>
    <d v="1899-12-30T09:30:00"/>
    <d v="1899-12-30T18:00:00"/>
    <x v="4"/>
    <x v="4"/>
  </r>
  <r>
    <s v="E001"/>
    <x v="0"/>
    <x v="0"/>
    <d v="2025-03-02T00:00:00"/>
    <d v="1899-12-30T09:05:00"/>
    <d v="1899-12-30T17:55:00"/>
    <x v="5"/>
    <x v="5"/>
  </r>
  <r>
    <s v="E002"/>
    <x v="1"/>
    <x v="0"/>
    <d v="2025-03-02T00:00:00"/>
    <d v="1899-12-30T09:20:00"/>
    <d v="1899-12-30T18:30:00"/>
    <x v="6"/>
    <x v="6"/>
  </r>
  <r>
    <s v="E003"/>
    <x v="2"/>
    <x v="1"/>
    <d v="2025-03-02T00:00:00"/>
    <d v="1899-12-30T08:45:00"/>
    <d v="1899-12-30T17:15:00"/>
    <x v="4"/>
    <x v="4"/>
  </r>
  <r>
    <s v="E004"/>
    <x v="3"/>
    <x v="2"/>
    <d v="2025-03-02T00:00:00"/>
    <d v="1899-12-30T09:55:00"/>
    <d v="1899-12-30T19:30:00"/>
    <x v="7"/>
    <x v="7"/>
  </r>
  <r>
    <s v="E005"/>
    <x v="4"/>
    <x v="2"/>
    <d v="2025-03-02T00:00:00"/>
    <d v="1899-12-30T09:10:00"/>
    <d v="1899-12-30T18:20:00"/>
    <x v="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70497-CEF1-4D40-9C03-01052442A4DA}" name="PivotTable12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3:K6" firstHeaderRow="1" firstDataRow="1" firstDataCol="1"/>
  <pivotFields count="12"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66" showAll="0"/>
    <pivotField dataField="1" numFmtId="169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numFmtId="164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Average of WorkedHours" fld="6" subtotal="average" baseField="2" baseItem="1" numFmtId="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EB87E-8D9C-48C4-9B0A-1911E168C487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15:F21" firstHeaderRow="1" firstDataRow="1" firstDataCol="1"/>
  <pivotFields count="12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66" showAll="0"/>
    <pivotField numFmtId="169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dataField="1" numFmtId="164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verTime" fld="7" baseField="1" baseItem="0" numFmtId="166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0A45E-2B7B-4FAC-9247-954A87C308AA}" name="PivotTable2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5:C20" firstHeaderRow="0" firstDataRow="1" firstDataCol="1"/>
  <pivotFields count="12"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numFmtId="166" showAll="0"/>
    <pivotField numFmtId="166" showAll="0"/>
    <pivotField dataField="1" numFmtId="169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dataField="1" numFmtId="164" showAll="0">
      <items count="9">
        <item x="1"/>
        <item x="4"/>
        <item x="5"/>
        <item x="0"/>
        <item x="3"/>
        <item x="6"/>
        <item x="7"/>
        <item x="2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Total WorkedHours" fld="6" baseField="1" baseItem="0" numFmtId="169"/>
    <dataField name="Total Overtime" fld="7" baseField="1" baseItem="0" numFmtId="2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F96-C3DA-4418-A22C-D4ABB5785D05}">
  <dimension ref="A1:K32"/>
  <sheetViews>
    <sheetView tabSelected="1"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13.5546875" bestFit="1" customWidth="1"/>
    <col min="4" max="4" width="10.33203125" bestFit="1" customWidth="1"/>
    <col min="5" max="5" width="12.5546875" style="3" bestFit="1" customWidth="1"/>
    <col min="6" max="6" width="15.6640625" style="3" bestFit="1" customWidth="1"/>
    <col min="7" max="7" width="12.21875" style="7" bestFit="1" customWidth="1"/>
    <col min="8" max="8" width="8.109375" style="4" bestFit="1" customWidth="1"/>
    <col min="9" max="9" width="8.109375" style="5" bestFit="1" customWidth="1"/>
    <col min="10" max="10" width="12.5546875" bestFit="1" customWidth="1"/>
    <col min="11" max="11" width="22.44140625" bestFit="1" customWidth="1"/>
    <col min="12" max="12" width="20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7" t="s">
        <v>19</v>
      </c>
      <c r="H1" s="4" t="s">
        <v>20</v>
      </c>
    </row>
    <row r="2" spans="1:11" x14ac:dyDescent="0.3">
      <c r="A2" t="s">
        <v>6</v>
      </c>
      <c r="B2" t="s">
        <v>7</v>
      </c>
      <c r="C2" t="s">
        <v>8</v>
      </c>
      <c r="D2" s="1">
        <v>45717</v>
      </c>
      <c r="E2" s="3">
        <v>0.38194444444444442</v>
      </c>
      <c r="F2" s="3">
        <v>0.75347222222222221</v>
      </c>
      <c r="G2" s="7">
        <f>(F2-E2)</f>
        <v>0.37152777777777779</v>
      </c>
      <c r="H2" s="4">
        <v>3.8194444444444496E-2</v>
      </c>
      <c r="I2" s="4"/>
    </row>
    <row r="3" spans="1:11" x14ac:dyDescent="0.3">
      <c r="A3" t="s">
        <v>9</v>
      </c>
      <c r="B3" t="s">
        <v>10</v>
      </c>
      <c r="C3" t="s">
        <v>8</v>
      </c>
      <c r="D3" s="1">
        <v>45717</v>
      </c>
      <c r="E3" s="3">
        <v>0.375</v>
      </c>
      <c r="F3" s="3">
        <v>0.72222222222222221</v>
      </c>
      <c r="G3" s="7">
        <f t="shared" ref="G3:G11" si="0">(F3-E3)</f>
        <v>0.34722222222222221</v>
      </c>
      <c r="H3" s="4">
        <v>1.388888888888884E-2</v>
      </c>
      <c r="I3" s="4"/>
      <c r="J3" s="8" t="s">
        <v>21</v>
      </c>
      <c r="K3" t="s">
        <v>26</v>
      </c>
    </row>
    <row r="4" spans="1:11" x14ac:dyDescent="0.3">
      <c r="A4" t="s">
        <v>11</v>
      </c>
      <c r="B4" t="s">
        <v>12</v>
      </c>
      <c r="C4" t="s">
        <v>13</v>
      </c>
      <c r="D4" s="1">
        <v>45717</v>
      </c>
      <c r="E4" s="3">
        <v>0.36805555555555558</v>
      </c>
      <c r="F4" s="3">
        <v>0.77777777777777779</v>
      </c>
      <c r="G4" s="7">
        <f t="shared" si="0"/>
        <v>0.40972222222222221</v>
      </c>
      <c r="H4" s="4">
        <v>7.638888888888884E-2</v>
      </c>
      <c r="I4" s="4"/>
      <c r="J4" s="9" t="s">
        <v>8</v>
      </c>
      <c r="K4" s="2">
        <v>0.3671875</v>
      </c>
    </row>
    <row r="5" spans="1:11" x14ac:dyDescent="0.3">
      <c r="A5" t="s">
        <v>14</v>
      </c>
      <c r="B5" t="s">
        <v>15</v>
      </c>
      <c r="C5" t="s">
        <v>16</v>
      </c>
      <c r="D5" s="1">
        <v>45717</v>
      </c>
      <c r="E5" s="3">
        <v>0.4201388888888889</v>
      </c>
      <c r="F5" s="3">
        <v>0.79861111111111116</v>
      </c>
      <c r="G5" s="7">
        <f t="shared" si="0"/>
        <v>0.37847222222222227</v>
      </c>
      <c r="H5" s="4">
        <v>4.5138888888888916E-2</v>
      </c>
      <c r="I5" s="4"/>
      <c r="J5" s="9" t="s">
        <v>13</v>
      </c>
      <c r="K5" s="2">
        <v>0.38194444444444442</v>
      </c>
    </row>
    <row r="6" spans="1:11" x14ac:dyDescent="0.3">
      <c r="A6" t="s">
        <v>17</v>
      </c>
      <c r="B6" t="s">
        <v>18</v>
      </c>
      <c r="C6" t="s">
        <v>16</v>
      </c>
      <c r="D6" s="1">
        <v>45717</v>
      </c>
      <c r="E6" s="3">
        <v>0.39583333333333331</v>
      </c>
      <c r="F6" s="3">
        <v>0.75</v>
      </c>
      <c r="G6" s="7">
        <f t="shared" si="0"/>
        <v>0.35416666666666669</v>
      </c>
      <c r="H6" s="4">
        <v>2.0833333333333332E-2</v>
      </c>
      <c r="I6" s="4"/>
      <c r="J6" s="9" t="s">
        <v>16</v>
      </c>
      <c r="K6" s="2">
        <v>0.37847222222222221</v>
      </c>
    </row>
    <row r="7" spans="1:11" x14ac:dyDescent="0.3">
      <c r="A7" t="s">
        <v>6</v>
      </c>
      <c r="B7" t="s">
        <v>7</v>
      </c>
      <c r="C7" t="s">
        <v>8</v>
      </c>
      <c r="D7" s="1">
        <v>45718</v>
      </c>
      <c r="E7" s="3">
        <v>0.37847222222222221</v>
      </c>
      <c r="F7" s="3">
        <v>0.74652777777777779</v>
      </c>
      <c r="G7" s="7">
        <f t="shared" si="0"/>
        <v>0.36805555555555558</v>
      </c>
      <c r="H7" s="4">
        <v>3.4722222222222245E-2</v>
      </c>
      <c r="I7" s="4"/>
    </row>
    <row r="8" spans="1:11" x14ac:dyDescent="0.3">
      <c r="A8" t="s">
        <v>9</v>
      </c>
      <c r="B8" t="s">
        <v>10</v>
      </c>
      <c r="C8" t="s">
        <v>8</v>
      </c>
      <c r="D8" s="1">
        <v>45718</v>
      </c>
      <c r="E8" s="3">
        <v>0.3888888888888889</v>
      </c>
      <c r="F8" s="3">
        <v>0.77083333333333337</v>
      </c>
      <c r="G8" s="7">
        <f t="shared" si="0"/>
        <v>0.38194444444444448</v>
      </c>
      <c r="H8" s="4">
        <v>4.861111111111116E-2</v>
      </c>
      <c r="I8" s="4"/>
    </row>
    <row r="9" spans="1:11" x14ac:dyDescent="0.3">
      <c r="A9" t="s">
        <v>11</v>
      </c>
      <c r="B9" t="s">
        <v>12</v>
      </c>
      <c r="C9" t="s">
        <v>13</v>
      </c>
      <c r="D9" s="1">
        <v>45718</v>
      </c>
      <c r="E9" s="3">
        <v>0.36458333333333331</v>
      </c>
      <c r="F9" s="3">
        <v>0.71875</v>
      </c>
      <c r="G9" s="7">
        <f t="shared" si="0"/>
        <v>0.35416666666666669</v>
      </c>
      <c r="H9" s="4">
        <v>2.0833333333333332E-2</v>
      </c>
      <c r="I9" s="4"/>
    </row>
    <row r="10" spans="1:11" x14ac:dyDescent="0.3">
      <c r="A10" t="s">
        <v>14</v>
      </c>
      <c r="B10" t="s">
        <v>15</v>
      </c>
      <c r="C10" t="s">
        <v>16</v>
      </c>
      <c r="D10" s="1">
        <v>45718</v>
      </c>
      <c r="E10" s="3">
        <v>0.41319444444444442</v>
      </c>
      <c r="F10" s="3">
        <v>0.8125</v>
      </c>
      <c r="G10" s="7">
        <f t="shared" si="0"/>
        <v>0.39930555555555558</v>
      </c>
      <c r="H10" s="4">
        <v>6.5972222222222252E-2</v>
      </c>
      <c r="I10" s="4"/>
    </row>
    <row r="11" spans="1:11" x14ac:dyDescent="0.3">
      <c r="A11" t="s">
        <v>17</v>
      </c>
      <c r="B11" t="s">
        <v>18</v>
      </c>
      <c r="C11" t="s">
        <v>16</v>
      </c>
      <c r="D11" s="1">
        <v>45718</v>
      </c>
      <c r="E11" s="3">
        <v>0.38194444444444442</v>
      </c>
      <c r="F11" s="3">
        <v>0.76388888888888884</v>
      </c>
      <c r="G11" s="7">
        <f t="shared" si="0"/>
        <v>0.38194444444444442</v>
      </c>
      <c r="H11" s="4">
        <v>4.8611111111111084E-2</v>
      </c>
      <c r="I11" s="4"/>
    </row>
    <row r="12" spans="1:11" x14ac:dyDescent="0.3">
      <c r="I12" s="4"/>
    </row>
    <row r="15" spans="1:11" x14ac:dyDescent="0.3">
      <c r="A15" s="8" t="s">
        <v>21</v>
      </c>
      <c r="B15" t="s">
        <v>25</v>
      </c>
      <c r="C15" t="s">
        <v>24</v>
      </c>
      <c r="E15" s="8" t="s">
        <v>21</v>
      </c>
      <c r="F15" t="s">
        <v>23</v>
      </c>
      <c r="G15"/>
      <c r="H15"/>
      <c r="I15"/>
    </row>
    <row r="16" spans="1:11" x14ac:dyDescent="0.3">
      <c r="A16" s="9" t="s">
        <v>7</v>
      </c>
      <c r="B16" s="6">
        <v>0.73958333333333337</v>
      </c>
      <c r="C16" s="2">
        <v>7.2916666666666671E-2</v>
      </c>
      <c r="E16" s="9" t="s">
        <v>7</v>
      </c>
      <c r="F16" s="3">
        <v>7.2916666666666671E-2</v>
      </c>
      <c r="G16"/>
      <c r="H16"/>
      <c r="I16"/>
    </row>
    <row r="17" spans="1:9" x14ac:dyDescent="0.3">
      <c r="A17" s="9" t="s">
        <v>15</v>
      </c>
      <c r="B17" s="6">
        <v>0.77777777777777779</v>
      </c>
      <c r="C17" s="2">
        <v>0.1111111111111111</v>
      </c>
      <c r="E17" s="9" t="s">
        <v>15</v>
      </c>
      <c r="F17" s="3">
        <v>0.1111111111111111</v>
      </c>
      <c r="G17"/>
      <c r="H17"/>
      <c r="I17"/>
    </row>
    <row r="18" spans="1:9" x14ac:dyDescent="0.3">
      <c r="A18" s="9" t="s">
        <v>12</v>
      </c>
      <c r="B18" s="6">
        <v>0.76388888888888884</v>
      </c>
      <c r="C18" s="2">
        <v>9.7222222222222224E-2</v>
      </c>
      <c r="E18" s="9" t="s">
        <v>12</v>
      </c>
      <c r="F18" s="3">
        <v>9.7222222222222224E-2</v>
      </c>
      <c r="G18"/>
      <c r="H18"/>
      <c r="I18"/>
    </row>
    <row r="19" spans="1:9" x14ac:dyDescent="0.3">
      <c r="A19" s="9" t="s">
        <v>18</v>
      </c>
      <c r="B19" s="6">
        <v>0.73611111111111116</v>
      </c>
      <c r="C19" s="2">
        <v>6.9444444444444448E-2</v>
      </c>
      <c r="E19" s="9" t="s">
        <v>18</v>
      </c>
      <c r="F19" s="3">
        <v>6.9444444444444448E-2</v>
      </c>
      <c r="G19"/>
      <c r="H19"/>
      <c r="I19"/>
    </row>
    <row r="20" spans="1:9" x14ac:dyDescent="0.3">
      <c r="A20" s="9" t="s">
        <v>10</v>
      </c>
      <c r="B20" s="6">
        <v>0.72916666666666663</v>
      </c>
      <c r="C20" s="2">
        <v>6.25E-2</v>
      </c>
      <c r="E20" s="9" t="s">
        <v>10</v>
      </c>
      <c r="F20" s="3">
        <v>6.25E-2</v>
      </c>
      <c r="G20"/>
    </row>
    <row r="21" spans="1:9" x14ac:dyDescent="0.3">
      <c r="E21" s="9" t="s">
        <v>22</v>
      </c>
      <c r="F21" s="3">
        <v>0.41319444444444442</v>
      </c>
      <c r="G21"/>
    </row>
    <row r="22" spans="1:9" x14ac:dyDescent="0.3">
      <c r="E22"/>
      <c r="F22"/>
      <c r="G22"/>
    </row>
    <row r="23" spans="1:9" x14ac:dyDescent="0.3">
      <c r="A23" s="10">
        <v>1</v>
      </c>
      <c r="B23" s="11" t="s">
        <v>27</v>
      </c>
      <c r="E23"/>
      <c r="F23"/>
      <c r="G23"/>
    </row>
    <row r="24" spans="1:9" x14ac:dyDescent="0.3">
      <c r="A24" s="10"/>
      <c r="B24" t="s">
        <v>28</v>
      </c>
      <c r="E24"/>
      <c r="F24"/>
      <c r="G24"/>
    </row>
    <row r="25" spans="1:9" s="10" customFormat="1" x14ac:dyDescent="0.3">
      <c r="A25" s="10">
        <v>2</v>
      </c>
      <c r="B25" s="14" t="s">
        <v>29</v>
      </c>
      <c r="H25" s="12"/>
      <c r="I25" s="13"/>
    </row>
    <row r="26" spans="1:9" x14ac:dyDescent="0.3">
      <c r="B26" t="s">
        <v>30</v>
      </c>
      <c r="E26"/>
      <c r="F26"/>
      <c r="G26"/>
    </row>
    <row r="27" spans="1:9" x14ac:dyDescent="0.3">
      <c r="E27"/>
      <c r="F27"/>
      <c r="G27"/>
    </row>
    <row r="28" spans="1:9" x14ac:dyDescent="0.3">
      <c r="E28"/>
      <c r="F28"/>
      <c r="G28"/>
    </row>
    <row r="29" spans="1:9" x14ac:dyDescent="0.3">
      <c r="E29"/>
      <c r="F29"/>
      <c r="G29"/>
    </row>
    <row r="30" spans="1:9" x14ac:dyDescent="0.3">
      <c r="E30"/>
      <c r="F30"/>
      <c r="G30"/>
    </row>
    <row r="31" spans="1:9" x14ac:dyDescent="0.3">
      <c r="E31"/>
      <c r="F31"/>
      <c r="G31"/>
    </row>
    <row r="32" spans="1:9" x14ac:dyDescent="0.3">
      <c r="E32"/>
      <c r="F32"/>
      <c r="G32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Adnaan</dc:creator>
  <cp:lastModifiedBy>Danish Adnaan</cp:lastModifiedBy>
  <dcterms:created xsi:type="dcterms:W3CDTF">2026-03-31T09:36:17Z</dcterms:created>
  <dcterms:modified xsi:type="dcterms:W3CDTF">2026-03-31T11:17:37Z</dcterms:modified>
</cp:coreProperties>
</file>