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ocuments\Daily_Learning_Github_Repo\Day2\"/>
    </mc:Choice>
  </mc:AlternateContent>
  <xr:revisionPtr revIDLastSave="0" documentId="13_ncr:1_{AB4B9A7D-3678-41F0-A4A1-1826B7CBD606}" xr6:coauthVersionLast="47" xr6:coauthVersionMax="47" xr10:uidLastSave="{00000000-0000-0000-0000-000000000000}"/>
  <bookViews>
    <workbookView xWindow="-108" yWindow="-108" windowWidth="23256" windowHeight="12456" xr2:uid="{E71DA3EB-DEFE-4F92-A27A-6C713E72C284}"/>
  </bookViews>
  <sheets>
    <sheet name="day_2 MRR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<sst xmlns="http://schemas.openxmlformats.org/spreadsheetml/2006/main" count="69" uniqueCount="36">
  <si>
    <t>CustomerID</t>
  </si>
  <si>
    <t>StartDate</t>
  </si>
  <si>
    <t>EndDate</t>
  </si>
  <si>
    <t>Plan</t>
  </si>
  <si>
    <t>MonthlyFee</t>
  </si>
  <si>
    <t>Region</t>
  </si>
  <si>
    <t>SalesRep</t>
  </si>
  <si>
    <t>C001</t>
  </si>
  <si>
    <t>Basic</t>
  </si>
  <si>
    <t>North</t>
  </si>
  <si>
    <t>Anita</t>
  </si>
  <si>
    <t>C002</t>
  </si>
  <si>
    <t>Pro</t>
  </si>
  <si>
    <t>South</t>
  </si>
  <si>
    <t>Rahul</t>
  </si>
  <si>
    <t>C003</t>
  </si>
  <si>
    <t>West</t>
  </si>
  <si>
    <t>Farhan</t>
  </si>
  <si>
    <t>C004</t>
  </si>
  <si>
    <t>Enterprise</t>
  </si>
  <si>
    <t>East</t>
  </si>
  <si>
    <t>C005</t>
  </si>
  <si>
    <t>C006</t>
  </si>
  <si>
    <t>C007</t>
  </si>
  <si>
    <t>C008</t>
  </si>
  <si>
    <t>C009</t>
  </si>
  <si>
    <t>C010</t>
  </si>
  <si>
    <t>IsActive_Mar</t>
  </si>
  <si>
    <t>Row Labels</t>
  </si>
  <si>
    <t>Column Labels</t>
  </si>
  <si>
    <t>Sum of MonthlyFee</t>
  </si>
  <si>
    <t>Count of CustomerID</t>
  </si>
  <si>
    <t>1A. Enterprise</t>
  </si>
  <si>
    <t>2A. Anita</t>
  </si>
  <si>
    <r>
      <t>2Q. Which </t>
    </r>
    <r>
      <rPr>
        <sz val="10"/>
        <color theme="1"/>
        <rFont val="Calibri"/>
        <family val="2"/>
        <scheme val="minor"/>
      </rPr>
      <t>SalesRep</t>
    </r>
    <r>
      <rPr>
        <sz val="10"/>
        <color theme="1"/>
        <rFont val="Calibri"/>
        <family val="2"/>
        <scheme val="minor"/>
      </rPr>
      <t> has the most </t>
    </r>
    <r>
      <rPr>
        <sz val="10"/>
        <color theme="1"/>
        <rFont val="Calibri"/>
        <family val="2"/>
        <scheme val="minor"/>
      </rPr>
      <t>active customers</t>
    </r>
    <r>
      <rPr>
        <sz val="10"/>
        <color theme="1"/>
        <rFont val="Calibri"/>
        <family val="2"/>
        <scheme val="minor"/>
      </rPr>
      <t> in March?</t>
    </r>
  </si>
  <si>
    <r>
      <t>1Q. Which </t>
    </r>
    <r>
      <rPr>
        <sz val="10"/>
        <color theme="1"/>
        <rFont val="Calibri"/>
        <family val="2"/>
        <scheme val="minor"/>
      </rPr>
      <t>Plan</t>
    </r>
    <r>
      <rPr>
        <sz val="10"/>
        <color theme="1"/>
        <rFont val="Calibri"/>
        <family val="2"/>
        <scheme val="minor"/>
      </rPr>
      <t> brings the highest MRR in March?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</si>
</sst>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[day_2 (Excel).xlsx]day_2 MRR!PivotTable3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'day_2 MRR'!$B$15:$B$16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'day_2 MRR'!$A$17:$A$19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'day_2 MRR'!$B$17:$B$19</c:f>
              <c:numCache>
                <c:formatCode>General</c:formatCode>
                <c:ptCount val="3"/>
                <c:pt idx="0">
                  <c:v>25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5-4A10-AF51-D761A9D9C767}"/>
            </c:ext>
          </c:extLst>
        </c:ser>
        <c:ser>
          <c:idx val="1"/>
          <c:order val="1"/>
          <c:tx>
            <c:strRef>
              <c:f>'day_2 MRR'!$C$15:$C$16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'day_2 MRR'!$A$17:$A$19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'day_2 MRR'!$C$17:$C$19</c:f>
              <c:numCache>
                <c:formatCode>General</c:formatCode>
                <c:ptCount val="3"/>
                <c:pt idx="0">
                  <c:v>50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5-4A10-AF51-D761A9D9C767}"/>
            </c:ext>
          </c:extLst>
        </c:ser>
        <c:ser>
          <c:idx val="2"/>
          <c:order val="2"/>
          <c:tx>
            <c:strRef>
              <c:f>'day_2 MRR'!$D$15:$D$16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'day_2 MRR'!$A$17:$A$19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'day_2 MRR'!$D$17:$D$19</c:f>
              <c:numCache>
                <c:formatCode>General</c:formatCode>
                <c:ptCount val="3"/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5-4A10-AF51-D761A9D9C767}"/>
            </c:ext>
          </c:extLst>
        </c:ser>
        <c:ser>
          <c:idx val="3"/>
          <c:order val="3"/>
          <c:tx>
            <c:strRef>
              <c:f>'day_2 MRR'!$E$15:$E$16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'day_2 MRR'!$A$17:$A$19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'day_2 MRR'!$E$17:$E$19</c:f>
              <c:numCache>
                <c:formatCode>General</c:formatCode>
                <c:ptCount val="3"/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05-4A10-AF51-D761A9D9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42294735"/>
        <c:axId val="1042296655"/>
      </c:barChart>
      <c:catAx>
        <c:axId val="104229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6655"/>
        <c:crosses val="autoZero"/>
        <c:auto val="1"/>
        <c:lblAlgn val="ctr"/>
        <c:lblOffset val="100"/>
        <c:noMultiLvlLbl val="0"/>
      </c:catAx>
      <c:valAx>
        <c:axId val="10422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121920</xdr:rowOff>
    </xdr:from>
    <xdr:to>
      <xdr:col>4</xdr:col>
      <xdr:colOff>205740</xdr:colOff>
      <xdr:row>30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A39D0-3A2A-4FEA-C5E7-122485233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09.585132638887" createdVersion="8" refreshedVersion="8" minRefreshableVersion="3" recordCount="10" xr:uid="{628F821F-C275-44D8-B322-224C9811649E}">
  <cacheSource type="worksheet">
    <worksheetSource ref="A1:I11" sheet="day_2 MRR"/>
  </cacheSource>
  <cacheFields count="9"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StartDate" numFmtId="14">
      <sharedItems containsSemiMixedTypes="0" containsNonDate="0" containsDate="1" containsString="0" minDate="2025-01-05T00:00:00" maxDate="2025-03-19T00:00:00"/>
    </cacheField>
    <cacheField name="EndDate" numFmtId="14">
      <sharedItems containsNonDate="0" containsDate="1" containsString="0" containsBlank="1" minDate="2025-02-28T00:00:00" maxDate="2025-05-01T00:00:00"/>
    </cacheField>
    <cacheField name="Plan" numFmtId="0">
      <sharedItems count="3">
        <s v="Basic"/>
        <s v="Pro"/>
        <s v="Enterprise"/>
      </sharedItems>
    </cacheField>
    <cacheField name="MonthlyFee" numFmtId="0">
      <sharedItems containsSemiMixedTypes="0" containsString="0" containsNumber="1" containsInteger="1" minValue="25" maxValue="120"/>
    </cacheField>
    <cacheField name="Region" numFmtId="0">
      <sharedItems count="4">
        <s v="North"/>
        <s v="South"/>
        <s v="West"/>
        <s v="East"/>
      </sharedItems>
    </cacheField>
    <cacheField name="SalesRep" numFmtId="0">
      <sharedItems/>
    </cacheField>
    <cacheField name="IsActive_Mar" numFmtId="0">
      <sharedItems containsSemiMixedTypes="0" containsString="0" containsNumber="1" containsInteger="1" minValue="0" maxValue="1" count="2">
        <n v="1"/>
        <n v="0"/>
      </sharedItems>
    </cacheField>
    <cacheField name="Active/Inactiv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09.588592361113" createdVersion="8" refreshedVersion="8" minRefreshableVersion="3" recordCount="10" xr:uid="{0B5DA83F-791A-4B4A-8395-C26E2CE4AC75}">
  <cacheSource type="worksheet">
    <worksheetSource ref="A1:H11" sheet="day_2 MRR"/>
  </cacheSource>
  <cacheFields count="8"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StartDate" numFmtId="14">
      <sharedItems containsSemiMixedTypes="0" containsNonDate="0" containsDate="1" containsString="0" minDate="2025-01-05T00:00:00" maxDate="2025-03-19T00:00:00"/>
    </cacheField>
    <cacheField name="EndDate" numFmtId="14">
      <sharedItems containsNonDate="0" containsDate="1" containsString="0" containsBlank="1" minDate="2025-02-28T00:00:00" maxDate="2025-05-01T00:00:00"/>
    </cacheField>
    <cacheField name="Plan" numFmtId="0">
      <sharedItems/>
    </cacheField>
    <cacheField name="MonthlyFee" numFmtId="0">
      <sharedItems containsSemiMixedTypes="0" containsString="0" containsNumber="1" containsInteger="1" minValue="25" maxValue="120"/>
    </cacheField>
    <cacheField name="Region" numFmtId="0">
      <sharedItems/>
    </cacheField>
    <cacheField name="SalesRep" numFmtId="0">
      <sharedItems count="3">
        <s v="Anita"/>
        <s v="Rahul"/>
        <s v="Farhan"/>
      </sharedItems>
    </cacheField>
    <cacheField name="IsActive_Mar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5-01-05T00:00:00"/>
    <d v="2025-04-30T00:00:00"/>
    <x v="0"/>
    <n v="25"/>
    <x v="0"/>
    <s v="Anita"/>
    <x v="0"/>
    <x v="0"/>
  </r>
  <r>
    <x v="1"/>
    <d v="2025-01-12T00:00:00"/>
    <m/>
    <x v="1"/>
    <n v="60"/>
    <x v="1"/>
    <s v="Rahul"/>
    <x v="0"/>
    <x v="0"/>
  </r>
  <r>
    <x v="2"/>
    <d v="2025-01-15T00:00:00"/>
    <d v="2025-02-28T00:00:00"/>
    <x v="0"/>
    <n v="25"/>
    <x v="2"/>
    <s v="Farhan"/>
    <x v="1"/>
    <x v="1"/>
  </r>
  <r>
    <x v="3"/>
    <d v="2025-01-20T00:00:00"/>
    <m/>
    <x v="2"/>
    <n v="120"/>
    <x v="3"/>
    <s v="Anita"/>
    <x v="0"/>
    <x v="0"/>
  </r>
  <r>
    <x v="4"/>
    <d v="2025-02-01T00:00:00"/>
    <m/>
    <x v="0"/>
    <n v="25"/>
    <x v="0"/>
    <s v="Rahul"/>
    <x v="0"/>
    <x v="0"/>
  </r>
  <r>
    <x v="5"/>
    <d v="2025-02-10T00:00:00"/>
    <d v="2025-03-15T00:00:00"/>
    <x v="1"/>
    <n v="60"/>
    <x v="1"/>
    <s v="Farhan"/>
    <x v="1"/>
    <x v="1"/>
  </r>
  <r>
    <x v="6"/>
    <d v="2025-02-20T00:00:00"/>
    <m/>
    <x v="1"/>
    <n v="60"/>
    <x v="2"/>
    <s v="Anita"/>
    <x v="0"/>
    <x v="0"/>
  </r>
  <r>
    <x v="7"/>
    <d v="2025-03-01T00:00:00"/>
    <m/>
    <x v="0"/>
    <n v="25"/>
    <x v="3"/>
    <s v="Rahul"/>
    <x v="0"/>
    <x v="0"/>
  </r>
  <r>
    <x v="8"/>
    <d v="2025-03-05T00:00:00"/>
    <d v="2025-03-31T00:00:00"/>
    <x v="2"/>
    <n v="120"/>
    <x v="0"/>
    <s v="Farhan"/>
    <x v="0"/>
    <x v="0"/>
  </r>
  <r>
    <x v="9"/>
    <d v="2025-03-18T00:00:00"/>
    <m/>
    <x v="1"/>
    <n v="60"/>
    <x v="1"/>
    <s v="Anita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5-01-05T00:00:00"/>
    <d v="2025-04-30T00:00:00"/>
    <s v="Basic"/>
    <n v="25"/>
    <s v="North"/>
    <x v="0"/>
    <x v="0"/>
  </r>
  <r>
    <x v="1"/>
    <d v="2025-01-12T00:00:00"/>
    <m/>
    <s v="Pro"/>
    <n v="60"/>
    <s v="South"/>
    <x v="1"/>
    <x v="0"/>
  </r>
  <r>
    <x v="2"/>
    <d v="2025-01-15T00:00:00"/>
    <d v="2025-02-28T00:00:00"/>
    <s v="Basic"/>
    <n v="25"/>
    <s v="West"/>
    <x v="2"/>
    <x v="1"/>
  </r>
  <r>
    <x v="3"/>
    <d v="2025-01-20T00:00:00"/>
    <m/>
    <s v="Enterprise"/>
    <n v="120"/>
    <s v="East"/>
    <x v="0"/>
    <x v="0"/>
  </r>
  <r>
    <x v="4"/>
    <d v="2025-02-01T00:00:00"/>
    <m/>
    <s v="Basic"/>
    <n v="25"/>
    <s v="North"/>
    <x v="1"/>
    <x v="0"/>
  </r>
  <r>
    <x v="5"/>
    <d v="2025-02-10T00:00:00"/>
    <d v="2025-03-15T00:00:00"/>
    <s v="Pro"/>
    <n v="60"/>
    <s v="South"/>
    <x v="2"/>
    <x v="1"/>
  </r>
  <r>
    <x v="6"/>
    <d v="2025-02-20T00:00:00"/>
    <m/>
    <s v="Pro"/>
    <n v="60"/>
    <s v="West"/>
    <x v="0"/>
    <x v="0"/>
  </r>
  <r>
    <x v="7"/>
    <d v="2025-03-01T00:00:00"/>
    <m/>
    <s v="Basic"/>
    <n v="25"/>
    <s v="East"/>
    <x v="1"/>
    <x v="0"/>
  </r>
  <r>
    <x v="8"/>
    <d v="2025-03-05T00:00:00"/>
    <d v="2025-03-31T00:00:00"/>
    <s v="Enterprise"/>
    <n v="120"/>
    <s v="North"/>
    <x v="2"/>
    <x v="0"/>
  </r>
  <r>
    <x v="9"/>
    <d v="2025-03-18T00:00:00"/>
    <m/>
    <s v="Pro"/>
    <n v="60"/>
    <s v="South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7ADB5-17C4-4713-92D0-8A92E81A9D92}" name="PivotTable4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G16:H19" firstHeaderRow="1" firstDataRow="1" firstDataCol="1" rowPageCount="1" colPageCount="1"/>
  <pivotFields count="8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 includeNewItemsInFilter="1" defaultSubtotal="0">
      <items count="2">
        <item x="1"/>
        <item x="0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pageFields count="1">
    <pageField fld="7" item="1" hier="-1"/>
  </pageField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504D7-C672-434E-8E44-DEDE20DF529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5:E19" firstHeaderRow="1" firstDataRow="2" firstDataCol="1" rowPageCount="1" colPageCount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>
      <x v="2"/>
    </i>
  </rowItems>
  <colFields count="1">
    <field x="5"/>
  </colFields>
  <colItems count="4">
    <i>
      <x/>
    </i>
    <i>
      <x v="1"/>
    </i>
    <i>
      <x v="2"/>
    </i>
    <i>
      <x v="3"/>
    </i>
  </colItems>
  <pageFields count="1">
    <pageField fld="7" item="1" hier="-1"/>
  </pageFields>
  <dataFields count="1">
    <dataField name="Sum of MonthlyFee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C426-95DC-4928-984B-41E2683721EA}">
  <dimension ref="A1:K40"/>
  <sheetViews>
    <sheetView tabSelected="1" zoomScaleNormal="100" workbookViewId="0">
      <pane ySplit="1" topLeftCell="A2" activePane="bottomLeft" state="frozen"/>
      <selection pane="bottomLeft" activeCell="H27" sqref="H27"/>
    </sheetView>
  </sheetViews>
  <sheetFormatPr defaultRowHeight="14.4" x14ac:dyDescent="0.3"/>
  <cols>
    <col min="1" max="1" width="17.77734375" bestFit="1" customWidth="1"/>
    <col min="2" max="2" width="15.5546875" style="1" bestFit="1" customWidth="1"/>
    <col min="3" max="3" width="10.33203125" style="1" bestFit="1" customWidth="1"/>
    <col min="4" max="4" width="6" bestFit="1" customWidth="1"/>
    <col min="5" max="5" width="5.21875" bestFit="1" customWidth="1"/>
    <col min="6" max="6" width="10.77734375" bestFit="1" customWidth="1"/>
    <col min="7" max="7" width="12.5546875" bestFit="1" customWidth="1"/>
    <col min="8" max="8" width="18.6640625" bestFit="1" customWidth="1"/>
    <col min="9" max="9" width="9.77734375" bestFit="1" customWidth="1"/>
    <col min="10" max="10" width="49.5546875" customWidth="1"/>
    <col min="11" max="11" width="9.77734375" bestFit="1" customWidth="1"/>
    <col min="12" max="12" width="7.109375" bestFit="1" customWidth="1"/>
    <col min="13" max="13" width="9.77734375" bestFit="1" customWidth="1"/>
    <col min="14" max="14" width="7.109375" bestFit="1" customWidth="1"/>
    <col min="15" max="15" width="9.77734375" bestFit="1" customWidth="1"/>
    <col min="16" max="16" width="7.109375" bestFit="1" customWidth="1"/>
    <col min="17" max="17" width="9.77734375" bestFit="1" customWidth="1"/>
    <col min="18" max="18" width="10.77734375" bestFit="1" customWidth="1"/>
    <col min="19" max="19" width="23.441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11" x14ac:dyDescent="0.3">
      <c r="A2" t="s">
        <v>7</v>
      </c>
      <c r="B2" s="1">
        <v>45662</v>
      </c>
      <c r="C2" s="1">
        <v>45777</v>
      </c>
      <c r="D2" t="s">
        <v>8</v>
      </c>
      <c r="E2">
        <v>25</v>
      </c>
      <c r="F2" t="s">
        <v>9</v>
      </c>
      <c r="G2" t="s">
        <v>10</v>
      </c>
      <c r="H2">
        <f>IF(AND(B2&lt;=DATE(2025,3,31), OR(C2&gt;=DATE(2025,3,31), C2="")),1,0)</f>
        <v>1</v>
      </c>
      <c r="K2" s="1"/>
    </row>
    <row r="3" spans="1:11" x14ac:dyDescent="0.3">
      <c r="A3" t="s">
        <v>11</v>
      </c>
      <c r="B3" s="1">
        <v>45669</v>
      </c>
      <c r="D3" t="s">
        <v>12</v>
      </c>
      <c r="E3">
        <v>60</v>
      </c>
      <c r="F3" t="s">
        <v>13</v>
      </c>
      <c r="G3" t="s">
        <v>14</v>
      </c>
      <c r="H3">
        <f t="shared" ref="H3:H11" si="0">IF(AND(B3&lt;=DATE(2025,3,31), OR(C3&gt;=DATE(2025,3,31), C3="")),1,0)</f>
        <v>1</v>
      </c>
    </row>
    <row r="4" spans="1:11" x14ac:dyDescent="0.3">
      <c r="A4" t="s">
        <v>15</v>
      </c>
      <c r="B4" s="1">
        <v>45672</v>
      </c>
      <c r="C4" s="1">
        <v>45716</v>
      </c>
      <c r="D4" t="s">
        <v>8</v>
      </c>
      <c r="E4">
        <v>25</v>
      </c>
      <c r="F4" t="s">
        <v>16</v>
      </c>
      <c r="G4" t="s">
        <v>17</v>
      </c>
      <c r="H4">
        <f t="shared" si="0"/>
        <v>0</v>
      </c>
    </row>
    <row r="5" spans="1:11" x14ac:dyDescent="0.3">
      <c r="A5" t="s">
        <v>18</v>
      </c>
      <c r="B5" s="1">
        <v>45677</v>
      </c>
      <c r="D5" t="s">
        <v>19</v>
      </c>
      <c r="E5">
        <v>120</v>
      </c>
      <c r="F5" t="s">
        <v>20</v>
      </c>
      <c r="G5" t="s">
        <v>10</v>
      </c>
      <c r="H5">
        <f t="shared" si="0"/>
        <v>1</v>
      </c>
    </row>
    <row r="6" spans="1:11" x14ac:dyDescent="0.3">
      <c r="A6" t="s">
        <v>21</v>
      </c>
      <c r="B6" s="1">
        <v>45689</v>
      </c>
      <c r="D6" t="s">
        <v>8</v>
      </c>
      <c r="E6">
        <v>25</v>
      </c>
      <c r="F6" t="s">
        <v>9</v>
      </c>
      <c r="G6" t="s">
        <v>14</v>
      </c>
      <c r="H6">
        <f t="shared" si="0"/>
        <v>1</v>
      </c>
    </row>
    <row r="7" spans="1:11" x14ac:dyDescent="0.3">
      <c r="A7" t="s">
        <v>22</v>
      </c>
      <c r="B7" s="1">
        <v>45698</v>
      </c>
      <c r="C7" s="1">
        <v>45731</v>
      </c>
      <c r="D7" t="s">
        <v>12</v>
      </c>
      <c r="E7">
        <v>60</v>
      </c>
      <c r="F7" t="s">
        <v>13</v>
      </c>
      <c r="G7" t="s">
        <v>17</v>
      </c>
      <c r="H7">
        <f t="shared" si="0"/>
        <v>0</v>
      </c>
    </row>
    <row r="8" spans="1:11" x14ac:dyDescent="0.3">
      <c r="A8" t="s">
        <v>23</v>
      </c>
      <c r="B8" s="1">
        <v>45708</v>
      </c>
      <c r="D8" t="s">
        <v>12</v>
      </c>
      <c r="E8">
        <v>60</v>
      </c>
      <c r="F8" t="s">
        <v>16</v>
      </c>
      <c r="G8" t="s">
        <v>10</v>
      </c>
      <c r="H8">
        <f t="shared" si="0"/>
        <v>1</v>
      </c>
    </row>
    <row r="9" spans="1:11" x14ac:dyDescent="0.3">
      <c r="A9" t="s">
        <v>24</v>
      </c>
      <c r="B9" s="1">
        <v>45717</v>
      </c>
      <c r="D9" t="s">
        <v>8</v>
      </c>
      <c r="E9">
        <v>25</v>
      </c>
      <c r="F9" t="s">
        <v>20</v>
      </c>
      <c r="G9" t="s">
        <v>14</v>
      </c>
      <c r="H9">
        <f t="shared" si="0"/>
        <v>1</v>
      </c>
    </row>
    <row r="10" spans="1:11" x14ac:dyDescent="0.3">
      <c r="A10" t="s">
        <v>25</v>
      </c>
      <c r="B10" s="1">
        <v>45721</v>
      </c>
      <c r="C10" s="1">
        <v>45747</v>
      </c>
      <c r="D10" t="s">
        <v>19</v>
      </c>
      <c r="E10">
        <v>120</v>
      </c>
      <c r="F10" t="s">
        <v>9</v>
      </c>
      <c r="G10" t="s">
        <v>17</v>
      </c>
      <c r="H10">
        <f t="shared" si="0"/>
        <v>1</v>
      </c>
    </row>
    <row r="11" spans="1:11" x14ac:dyDescent="0.3">
      <c r="A11" t="s">
        <v>26</v>
      </c>
      <c r="B11" s="1">
        <v>45734</v>
      </c>
      <c r="D11" t="s">
        <v>12</v>
      </c>
      <c r="E11">
        <v>60</v>
      </c>
      <c r="F11" t="s">
        <v>13</v>
      </c>
      <c r="G11" t="s">
        <v>10</v>
      </c>
      <c r="H11">
        <f t="shared" si="0"/>
        <v>1</v>
      </c>
    </row>
    <row r="12" spans="1:11" x14ac:dyDescent="0.3">
      <c r="B12"/>
    </row>
    <row r="13" spans="1:11" x14ac:dyDescent="0.3">
      <c r="A13" s="2" t="s">
        <v>27</v>
      </c>
      <c r="B13" s="3">
        <v>1</v>
      </c>
      <c r="C13"/>
    </row>
    <row r="14" spans="1:11" x14ac:dyDescent="0.3">
      <c r="B14"/>
      <c r="C14"/>
      <c r="G14" s="2" t="s">
        <v>27</v>
      </c>
      <c r="H14" s="3">
        <v>1</v>
      </c>
    </row>
    <row r="15" spans="1:11" x14ac:dyDescent="0.3">
      <c r="A15" s="2" t="s">
        <v>30</v>
      </c>
      <c r="B15" s="2" t="s">
        <v>29</v>
      </c>
      <c r="C15"/>
    </row>
    <row r="16" spans="1:11" x14ac:dyDescent="0.3">
      <c r="A16" s="2" t="s">
        <v>28</v>
      </c>
      <c r="B16" t="s">
        <v>20</v>
      </c>
      <c r="C16" t="s">
        <v>9</v>
      </c>
      <c r="D16" t="s">
        <v>13</v>
      </c>
      <c r="E16" t="s">
        <v>16</v>
      </c>
      <c r="G16" s="2" t="s">
        <v>28</v>
      </c>
      <c r="H16" t="s">
        <v>31</v>
      </c>
    </row>
    <row r="17" spans="1:10" x14ac:dyDescent="0.3">
      <c r="A17" s="3" t="s">
        <v>8</v>
      </c>
      <c r="B17">
        <v>25</v>
      </c>
      <c r="C17">
        <v>50</v>
      </c>
      <c r="G17" s="3" t="s">
        <v>10</v>
      </c>
      <c r="H17">
        <v>4</v>
      </c>
      <c r="J17" s="5" t="s">
        <v>35</v>
      </c>
    </row>
    <row r="18" spans="1:10" x14ac:dyDescent="0.3">
      <c r="A18" s="3" t="s">
        <v>19</v>
      </c>
      <c r="B18">
        <v>120</v>
      </c>
      <c r="C18">
        <v>120</v>
      </c>
      <c r="G18" s="3" t="s">
        <v>17</v>
      </c>
      <c r="H18">
        <v>1</v>
      </c>
      <c r="J18" s="6" t="s">
        <v>32</v>
      </c>
    </row>
    <row r="19" spans="1:10" x14ac:dyDescent="0.3">
      <c r="A19" s="3" t="s">
        <v>12</v>
      </c>
      <c r="B19"/>
      <c r="C19"/>
      <c r="D19">
        <v>120</v>
      </c>
      <c r="E19">
        <v>60</v>
      </c>
      <c r="G19" s="3" t="s">
        <v>14</v>
      </c>
      <c r="H19">
        <v>3</v>
      </c>
    </row>
    <row r="20" spans="1:10" ht="27.6" x14ac:dyDescent="0.3">
      <c r="B20"/>
      <c r="C20"/>
      <c r="J20" s="4" t="s">
        <v>34</v>
      </c>
    </row>
    <row r="21" spans="1:10" x14ac:dyDescent="0.3">
      <c r="B21"/>
      <c r="C21"/>
      <c r="J21" s="7" t="s">
        <v>33</v>
      </c>
    </row>
    <row r="22" spans="1:10" x14ac:dyDescent="0.3">
      <c r="B22"/>
      <c r="C22"/>
    </row>
    <row r="23" spans="1:10" x14ac:dyDescent="0.3">
      <c r="B23"/>
      <c r="C23"/>
    </row>
    <row r="24" spans="1:10" x14ac:dyDescent="0.3">
      <c r="B24"/>
      <c r="C24"/>
    </row>
    <row r="25" spans="1:10" x14ac:dyDescent="0.3">
      <c r="B25"/>
      <c r="C25"/>
    </row>
    <row r="26" spans="1:10" x14ac:dyDescent="0.3">
      <c r="B26"/>
      <c r="C26"/>
    </row>
    <row r="27" spans="1:10" x14ac:dyDescent="0.3">
      <c r="B27"/>
      <c r="C27"/>
    </row>
    <row r="28" spans="1:10" x14ac:dyDescent="0.3">
      <c r="B28"/>
      <c r="C28"/>
    </row>
    <row r="29" spans="1:10" x14ac:dyDescent="0.3">
      <c r="B29"/>
      <c r="C29"/>
    </row>
    <row r="30" spans="1:10" x14ac:dyDescent="0.3">
      <c r="B30"/>
      <c r="C30"/>
    </row>
    <row r="31" spans="1:10" x14ac:dyDescent="0.3">
      <c r="B31"/>
      <c r="C31"/>
    </row>
    <row r="32" spans="1:10" x14ac:dyDescent="0.3">
      <c r="B32"/>
      <c r="C32"/>
    </row>
    <row r="33" spans="2:3" x14ac:dyDescent="0.3">
      <c r="B33"/>
      <c r="C33"/>
    </row>
    <row r="34" spans="2:3" x14ac:dyDescent="0.3">
      <c r="B34"/>
    </row>
    <row r="35" spans="2:3" x14ac:dyDescent="0.3">
      <c r="B35"/>
    </row>
    <row r="36" spans="2:3" x14ac:dyDescent="0.3">
      <c r="B36"/>
    </row>
    <row r="37" spans="2:3" x14ac:dyDescent="0.3">
      <c r="B37"/>
    </row>
    <row r="38" spans="2:3" x14ac:dyDescent="0.3">
      <c r="B38"/>
    </row>
    <row r="39" spans="2:3" x14ac:dyDescent="0.3">
      <c r="B39"/>
    </row>
    <row r="40" spans="2:3" x14ac:dyDescent="0.3">
      <c r="B40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day_2 MRR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2026-03-27T15:50:25Z</dcterms:created>
  <dcterms:modified xsi:type="dcterms:W3CDTF">2026-03-29T11:41:01Z</dcterms:modified>
</cp:coreProperties>
</file>