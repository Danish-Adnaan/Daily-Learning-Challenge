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is\OneDrive\Desktop\Learning_Challenge\PowerBI_or_Excel\"/>
    </mc:Choice>
  </mc:AlternateContent>
  <xr:revisionPtr revIDLastSave="0" documentId="8_{358BAF8D-BD9E-4C86-BA26-DF16C02A718B}" xr6:coauthVersionLast="47" xr6:coauthVersionMax="47" xr10:uidLastSave="{00000000-0000-0000-0000-000000000000}"/>
  <bookViews>
    <workbookView xWindow="-108" yWindow="-108" windowWidth="23256" windowHeight="12456" xr2:uid="{14780140-657B-4985-9BA6-E61734142028}"/>
  </bookViews>
  <sheets>
    <sheet name="Sheet1" sheetId="1" r:id="rId1"/>
  </sheets>
  <calcPr calcId="191029"/>
  <pivotCaches>
    <pivotCache cacheId="2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<sst xmlns="http://schemas.openxmlformats.org/spreadsheetml/2006/main" count="86" uniqueCount="45">
  <si>
    <t>TransID</t>
  </si>
  <si>
    <t>Customer</t>
  </si>
  <si>
    <t>Segment</t>
  </si>
  <si>
    <t>Region</t>
  </si>
  <si>
    <t>OrderDate</t>
  </si>
  <si>
    <t>Revenue</t>
  </si>
  <si>
    <t>COGS</t>
  </si>
  <si>
    <t>DiscountPct</t>
  </si>
  <si>
    <t>T001</t>
  </si>
  <si>
    <t>Asha</t>
  </si>
  <si>
    <t>Consumer</t>
  </si>
  <si>
    <t>North</t>
  </si>
  <si>
    <t>T002</t>
  </si>
  <si>
    <t>Rohit</t>
  </si>
  <si>
    <t>SmallBiz</t>
  </si>
  <si>
    <t>South</t>
  </si>
  <si>
    <t>T003</t>
  </si>
  <si>
    <t>Lakshmi</t>
  </si>
  <si>
    <t>Enterprise</t>
  </si>
  <si>
    <t>East</t>
  </si>
  <si>
    <t>T004</t>
  </si>
  <si>
    <t>Imran</t>
  </si>
  <si>
    <t>West</t>
  </si>
  <si>
    <t>T005</t>
  </si>
  <si>
    <t>Neha</t>
  </si>
  <si>
    <t>T006</t>
  </si>
  <si>
    <t>T007</t>
  </si>
  <si>
    <t>T008</t>
  </si>
  <si>
    <t>T009</t>
  </si>
  <si>
    <t>T010</t>
  </si>
  <si>
    <t>GrossProfit</t>
  </si>
  <si>
    <t>GrossMarginPct</t>
  </si>
  <si>
    <t>DiscountAmount</t>
  </si>
  <si>
    <t>NetRevenue</t>
  </si>
  <si>
    <t>Sum of NetRevenue</t>
  </si>
  <si>
    <t>Sum of GrossProfit</t>
  </si>
  <si>
    <t>Row Labels</t>
  </si>
  <si>
    <t>Grand Total</t>
  </si>
  <si>
    <t>Average of GrossMarginPct</t>
  </si>
  <si>
    <t>1. Which Customer has the highest NetRevenue?</t>
  </si>
  <si>
    <t>Ans: lakshmi</t>
  </si>
  <si>
    <r>
      <t>2. Which </t>
    </r>
    <r>
      <rPr>
        <sz val="10"/>
        <color theme="1"/>
        <rFont val="Georgia"/>
        <family val="1"/>
      </rPr>
      <t>Segment</t>
    </r>
    <r>
      <rPr>
        <sz val="10"/>
        <color theme="1"/>
        <rFont val="Georgia"/>
        <family val="1"/>
      </rPr>
      <t> contributes the highest total NetRevenue?</t>
    </r>
  </si>
  <si>
    <t>Ans: Enterprise</t>
  </si>
  <si>
    <t>3. why can a customer with lower total Revenue still be more attractive than another ?</t>
  </si>
  <si>
    <t>Ans: As we can see margins and discounts playing a crucial role in making customer importance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</si>
</sst>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eorgia"/>
      <family val="1"/>
    </font>
    <font>
      <sz val="10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[day_7(Excel).xlsx]Sheet1!PivotTable17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NetRevenue by Customer</a:t>
            </a:r>
          </a:p>
        </c:rich>
      </c:tx>
      <c:layout>
        <c:manualLayout>
          <c:xMode val="edge"/>
          <c:yMode val="edge"/>
          <c:x val="0.31284011373578308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Sheet1!$A$22:$A$27</c:f>
              <c:strCache>
                <c:ptCount val="5"/>
                <c:pt idx="0">
                  <c:v>Asha</c:v>
                </c:pt>
                <c:pt idx="1">
                  <c:v>Imran</c:v>
                </c:pt>
                <c:pt idx="2">
                  <c:v>Lakshmi</c:v>
                </c:pt>
                <c:pt idx="3">
                  <c:v>Neha</c:v>
                </c:pt>
                <c:pt idx="4">
                  <c:v>Rohit</c:v>
                </c:pt>
              </c:strCache>
            </c:strRef>
          </c:cat>
          <c:val>
            <c:numRef>
              <c:f>Sheet1!$B$22:$B$27</c:f>
              <c:numCache>
                <c:formatCode>General</c:formatCode>
                <c:ptCount val="5"/>
                <c:pt idx="0">
                  <c:v>9865</c:v>
                </c:pt>
                <c:pt idx="1">
                  <c:v>12305</c:v>
                </c:pt>
                <c:pt idx="2">
                  <c:v>30000</c:v>
                </c:pt>
                <c:pt idx="3">
                  <c:v>13360</c:v>
                </c:pt>
                <c:pt idx="4">
                  <c:v>13090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1-414C-8F81-AC2C2744F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3106224"/>
        <c:axId val="1397904528"/>
        <c:axId val="0"/>
      </c:bar3DChart>
      <c:catAx>
        <c:axId val="133310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04528"/>
        <c:crosses val="autoZero"/>
        <c:auto val="1"/>
        <c:lblAlgn val="ctr"/>
        <c:lblOffset val="100"/>
        <c:noMultiLvlLbl val="0"/>
      </c:catAx>
      <c:valAx>
        <c:axId val="13979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0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11</xdr:row>
      <xdr:rowOff>118110</xdr:rowOff>
    </xdr:from>
    <xdr:to>
      <xdr:col>13</xdr:col>
      <xdr:colOff>480060</xdr:colOff>
      <xdr:row>26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A8C80-7CB0-3F47-7C38-74A18BB74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sh Adnaan" refreshedDate="46115.724669328702" createdVersion="8" refreshedVersion="8" minRefreshableVersion="3" recordCount="10" xr:uid="{4CAE4652-93DC-4DE3-8579-7166498C4922}">
  <cacheSource type="worksheet">
    <worksheetSource ref="A1:L11" sheet="Sheet1"/>
  </cacheSource>
  <cacheFields count="12">
    <cacheField name="TransID" numFmtId="0">
      <sharedItems/>
    </cacheField>
    <cacheField name="Customer" numFmtId="0">
      <sharedItems count="5">
        <s v="Asha"/>
        <s v="Rohit"/>
        <s v="Lakshmi"/>
        <s v="Imran"/>
        <s v="Neha"/>
      </sharedItems>
    </cacheField>
    <cacheField name="Segment" numFmtId="0">
      <sharedItems count="3">
        <s v="Consumer"/>
        <s v="SmallBiz"/>
        <s v="Enterprise"/>
      </sharedItems>
    </cacheField>
    <cacheField name="Region" numFmtId="0">
      <sharedItems count="4">
        <s v="North"/>
        <s v="South"/>
        <s v="East"/>
        <s v="West"/>
      </sharedItems>
    </cacheField>
    <cacheField name="OrderDate" numFmtId="14">
      <sharedItems containsSemiMixedTypes="0" containsNonDate="0" containsDate="1" containsString="0" minDate="2025-02-10T00:00:00" maxDate="2025-03-26T00:00:00"/>
    </cacheField>
    <cacheField name="Revenue" numFmtId="0">
      <sharedItems containsSemiMixedTypes="0" containsString="0" containsNumber="1" containsInteger="1" minValue="5000" maxValue="18000"/>
    </cacheField>
    <cacheField name="COGS" numFmtId="0">
      <sharedItems containsSemiMixedTypes="0" containsString="0" containsNumber="1" containsInteger="1" minValue="3200" maxValue="10800"/>
    </cacheField>
    <cacheField name="DiscountPct" numFmtId="0">
      <sharedItems containsSemiMixedTypes="0" containsString="0" containsNumber="1" minValue="0" maxValue="0.12"/>
    </cacheField>
    <cacheField name="GrossProfit" numFmtId="0">
      <sharedItems containsSemiMixedTypes="0" containsString="0" containsNumber="1" containsInteger="1" minValue="1800" maxValue="7200"/>
    </cacheField>
    <cacheField name="GrossMarginPct" numFmtId="0">
      <sharedItems containsSemiMixedTypes="0" containsString="0" containsNumber="1" minValue="0.33870967741935482" maxValue="0.4"/>
    </cacheField>
    <cacheField name="DiscountAmount" numFmtId="0">
      <sharedItems containsSemiMixedTypes="0" containsString="0" containsNumber="1" minValue="0" maxValue="1800"/>
    </cacheField>
    <cacheField name="NetRevenue" numFmtId="0">
      <sharedItems containsSemiMixedTypes="0" containsString="0" containsNumber="1" containsInteger="1" minValue="4750" maxValue="1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T001"/>
    <x v="0"/>
    <x v="0"/>
    <x v="0"/>
    <d v="2025-02-10T00:00:00"/>
    <n v="5000"/>
    <n v="3200"/>
    <n v="0.05"/>
    <n v="1800"/>
    <n v="0.36"/>
    <n v="250"/>
    <n v="4750"/>
  </r>
  <r>
    <s v="T002"/>
    <x v="1"/>
    <x v="1"/>
    <x v="1"/>
    <d v="2025-02-15T00:00:00"/>
    <n v="8000"/>
    <n v="5200"/>
    <n v="0.1"/>
    <n v="2800"/>
    <n v="0.35"/>
    <n v="800"/>
    <n v="7200"/>
  </r>
  <r>
    <s v="T003"/>
    <x v="2"/>
    <x v="2"/>
    <x v="2"/>
    <d v="2025-02-18T00:00:00"/>
    <n v="15000"/>
    <n v="9000"/>
    <n v="0.08"/>
    <n v="6000"/>
    <n v="0.4"/>
    <n v="1200"/>
    <n v="13800"/>
  </r>
  <r>
    <s v="T004"/>
    <x v="3"/>
    <x v="0"/>
    <x v="3"/>
    <d v="2025-03-01T00:00:00"/>
    <n v="6000"/>
    <n v="3800"/>
    <n v="0"/>
    <n v="2200"/>
    <n v="0.36666666666666664"/>
    <n v="0"/>
    <n v="6000"/>
  </r>
  <r>
    <s v="T005"/>
    <x v="4"/>
    <x v="1"/>
    <x v="0"/>
    <d v="2025-03-03T00:00:00"/>
    <n v="7000"/>
    <n v="4500"/>
    <n v="0.12"/>
    <n v="2500"/>
    <n v="0.35714285714285715"/>
    <n v="840"/>
    <n v="6160"/>
  </r>
  <r>
    <s v="T006"/>
    <x v="0"/>
    <x v="0"/>
    <x v="0"/>
    <d v="2025-03-10T00:00:00"/>
    <n v="5500"/>
    <n v="3400"/>
    <n v="7.0000000000000007E-2"/>
    <n v="2100"/>
    <n v="0.38181818181818183"/>
    <n v="385.00000000000006"/>
    <n v="5115"/>
  </r>
  <r>
    <s v="T007"/>
    <x v="1"/>
    <x v="1"/>
    <x v="1"/>
    <d v="2025-03-12T00:00:00"/>
    <n v="6200"/>
    <n v="4100"/>
    <n v="0.05"/>
    <n v="2100"/>
    <n v="0.33870967741935482"/>
    <n v="310"/>
    <n v="5890"/>
  </r>
  <r>
    <s v="T008"/>
    <x v="2"/>
    <x v="2"/>
    <x v="2"/>
    <d v="2025-03-15T00:00:00"/>
    <n v="18000"/>
    <n v="10800"/>
    <n v="0.1"/>
    <n v="7200"/>
    <n v="0.4"/>
    <n v="1800"/>
    <n v="16200"/>
  </r>
  <r>
    <s v="T009"/>
    <x v="3"/>
    <x v="0"/>
    <x v="3"/>
    <d v="2025-03-20T00:00:00"/>
    <n v="6500"/>
    <n v="4000"/>
    <n v="0.03"/>
    <n v="2500"/>
    <n v="0.38461538461538464"/>
    <n v="195"/>
    <n v="6305"/>
  </r>
  <r>
    <s v="T010"/>
    <x v="4"/>
    <x v="1"/>
    <x v="0"/>
    <d v="2025-03-25T00:00:00"/>
    <n v="7200"/>
    <n v="4600"/>
    <n v="0"/>
    <n v="2600"/>
    <n v="0.3611111111111111"/>
    <n v="0"/>
    <n v="7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A84C4-27EA-4714-9D97-9F3654567964}" name="PivotTable1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B27" firstHeaderRow="1" firstDataRow="1" firstDataCol="1"/>
  <pivotFields count="12"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EAFF0-EC5B-4DA0-8A58-358B09A38D62}" name="PivotTable2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13:G21" firstHeaderRow="1" firstDataRow="1" firstDataCol="1"/>
  <pivotFields count="12"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2"/>
    <field x="3"/>
  </rowFields>
  <rowItems count="8">
    <i>
      <x/>
    </i>
    <i r="1">
      <x v="1"/>
    </i>
    <i r="1">
      <x v="3"/>
    </i>
    <i>
      <x v="1"/>
    </i>
    <i r="1">
      <x/>
    </i>
    <i>
      <x v="2"/>
    </i>
    <i r="1">
      <x v="1"/>
    </i>
    <i r="1">
      <x v="2"/>
    </i>
  </rowItems>
  <colItems count="1">
    <i/>
  </colItems>
  <dataFields count="1">
    <dataField name="Sum of Net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C1646-6C0A-4ECB-9EA9-BC7992FEA5CF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19" firstHeaderRow="0" firstDataRow="1" firstDataCol="1"/>
  <pivotFields count="12"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dataField="1" showAll="0"/>
    <pivotField dataField="1"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Revenue" fld="11" baseField="0" baseItem="0"/>
    <dataField name="Sum of GrossProfit" fld="8" baseField="0" baseItem="0"/>
    <dataField name="Average of GrossMarginPct" fld="9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59056C-6309-444B-B53A-9B526014A8FA}" name="Table2" displayName="Table2" ref="A1:L11" totalsRowShown="0">
  <autoFilter ref="A1:L11" xr:uid="{F259056C-6309-444B-B53A-9B526014A8FA}"/>
  <tableColumns count="12">
    <tableColumn id="1" xr3:uid="{748EE0E2-EB08-4C59-AA0C-525B6E4EEBF5}" name="TransID"/>
    <tableColumn id="2" xr3:uid="{CD90048D-ABC3-4F6F-AF9E-95EA49986C55}" name="Customer"/>
    <tableColumn id="3" xr3:uid="{DB69198E-5D3B-48CC-8A19-BBFF4FA89E29}" name="Segment"/>
    <tableColumn id="4" xr3:uid="{A9D099CE-CC28-47B8-8901-281ED1E4DC22}" name="Region"/>
    <tableColumn id="5" xr3:uid="{17E4EA16-B874-474E-9721-CF41C2251955}" name="OrderDate" dataDxfId="0"/>
    <tableColumn id="6" xr3:uid="{FF80D71C-6553-4426-A96C-D5BEF5D09697}" name="Revenue"/>
    <tableColumn id="7" xr3:uid="{AB08D937-CDB3-488B-91A0-24412FD62B40}" name="COGS"/>
    <tableColumn id="8" xr3:uid="{7A350332-E9F2-426A-B5BB-AD99F8FCE1E0}" name="DiscountPct"/>
    <tableColumn id="9" xr3:uid="{7D64A7F0-09B6-440B-9975-252EAAFCE522}" name="GrossProfit">
      <calculatedColumnFormula>F2-G2</calculatedColumnFormula>
    </tableColumn>
    <tableColumn id="10" xr3:uid="{F665F7C4-FB6B-4B92-BF10-6273256F174A}" name="GrossMarginPct">
      <calculatedColumnFormula>I2/F2</calculatedColumnFormula>
    </tableColumn>
    <tableColumn id="11" xr3:uid="{9ED5531A-C3CE-4D9A-8654-625E1BAA733C}" name="DiscountAmount">
      <calculatedColumnFormula>F2*H2</calculatedColumnFormula>
    </tableColumn>
    <tableColumn id="12" xr3:uid="{D4389441-410A-4847-ACE0-F641A17E2637}" name="NetRevenue">
      <calculatedColumnFormula>F2-K2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BA8F-73B7-4705-A6F5-C77E8712C1D1}">
  <dimension ref="A1:L27"/>
  <sheetViews>
    <sheetView tabSelected="1" workbookViewId="0">
      <selection activeCell="C26" sqref="C26"/>
    </sheetView>
  </sheetViews>
  <sheetFormatPr defaultRowHeight="14.4" x14ac:dyDescent="0.3"/>
  <cols>
    <col min="1" max="1" width="12.5546875" bestFit="1" customWidth="1"/>
    <col min="2" max="2" width="18" bestFit="1" customWidth="1"/>
    <col min="3" max="3" width="16.77734375" bestFit="1" customWidth="1"/>
    <col min="4" max="4" width="24.109375" bestFit="1" customWidth="1"/>
    <col min="5" max="5" width="11.5546875" customWidth="1"/>
    <col min="6" max="6" width="12.5546875" bestFit="1" customWidth="1"/>
    <col min="7" max="7" width="18" bestFit="1" customWidth="1"/>
    <col min="8" max="8" width="12.88671875" customWidth="1"/>
    <col min="9" max="9" width="12.109375" customWidth="1"/>
    <col min="10" max="10" width="15.6640625" customWidth="1"/>
    <col min="11" max="11" width="17.109375" customWidth="1"/>
    <col min="12" max="12" width="13.21875" customWidth="1"/>
    <col min="14" max="14" width="12.5546875" bestFit="1" customWidth="1"/>
    <col min="15" max="15" width="18" bestFit="1" customWidth="1"/>
    <col min="16" max="16" width="9.44140625" bestFit="1" customWidth="1"/>
    <col min="17" max="17" width="7.88671875" bestFit="1" customWidth="1"/>
    <col min="18" max="18" width="10.77734375" bestFit="1" customWidth="1"/>
    <col min="19" max="19" width="10.5546875" bestFit="1" customWidth="1"/>
    <col min="20" max="20" width="8" bestFit="1" customWidth="1"/>
    <col min="21" max="21" width="10.6640625" bestFit="1" customWidth="1"/>
    <col min="22" max="22" width="9.5546875" bestFit="1" customWidth="1"/>
    <col min="23" max="23" width="9.88671875" bestFit="1" customWidth="1"/>
    <col min="24" max="24" width="1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</v>
      </c>
      <c r="J1" s="2" t="s">
        <v>31</v>
      </c>
      <c r="K1" t="s">
        <v>32</v>
      </c>
      <c r="L1" t="s">
        <v>33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s="1">
        <v>45698</v>
      </c>
      <c r="F2">
        <v>5000</v>
      </c>
      <c r="G2">
        <v>3200</v>
      </c>
      <c r="H2">
        <v>0.05</v>
      </c>
      <c r="I2">
        <f>F2-G2</f>
        <v>1800</v>
      </c>
      <c r="J2">
        <f>I2/F2</f>
        <v>0.36</v>
      </c>
      <c r="K2">
        <f>F2*H2</f>
        <v>250</v>
      </c>
      <c r="L2">
        <f>F2-K2</f>
        <v>4750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s="1">
        <v>45703</v>
      </c>
      <c r="F3">
        <v>8000</v>
      </c>
      <c r="G3">
        <v>5200</v>
      </c>
      <c r="H3">
        <v>0.1</v>
      </c>
      <c r="I3">
        <f t="shared" ref="I3:I11" si="0">F3-G3</f>
        <v>2800</v>
      </c>
      <c r="J3">
        <f t="shared" ref="J3:J11" si="1">I3/F3</f>
        <v>0.35</v>
      </c>
      <c r="K3">
        <f t="shared" ref="K3:K11" si="2">F3*H3</f>
        <v>800</v>
      </c>
      <c r="L3">
        <f t="shared" ref="L3:L11" si="3">F3-K3</f>
        <v>7200</v>
      </c>
    </row>
    <row r="4" spans="1:12" x14ac:dyDescent="0.3">
      <c r="A4" t="s">
        <v>16</v>
      </c>
      <c r="B4" t="s">
        <v>17</v>
      </c>
      <c r="C4" t="s">
        <v>18</v>
      </c>
      <c r="D4" t="s">
        <v>19</v>
      </c>
      <c r="E4" s="1">
        <v>45706</v>
      </c>
      <c r="F4">
        <v>15000</v>
      </c>
      <c r="G4">
        <v>9000</v>
      </c>
      <c r="H4">
        <v>0.08</v>
      </c>
      <c r="I4">
        <f t="shared" si="0"/>
        <v>6000</v>
      </c>
      <c r="J4">
        <f t="shared" si="1"/>
        <v>0.4</v>
      </c>
      <c r="K4">
        <f t="shared" si="2"/>
        <v>1200</v>
      </c>
      <c r="L4">
        <f t="shared" si="3"/>
        <v>13800</v>
      </c>
    </row>
    <row r="5" spans="1:12" x14ac:dyDescent="0.3">
      <c r="A5" t="s">
        <v>20</v>
      </c>
      <c r="B5" t="s">
        <v>21</v>
      </c>
      <c r="C5" t="s">
        <v>10</v>
      </c>
      <c r="D5" t="s">
        <v>22</v>
      </c>
      <c r="E5" s="1">
        <v>45717</v>
      </c>
      <c r="F5">
        <v>6000</v>
      </c>
      <c r="G5">
        <v>3800</v>
      </c>
      <c r="H5">
        <v>0</v>
      </c>
      <c r="I5">
        <f t="shared" si="0"/>
        <v>2200</v>
      </c>
      <c r="J5">
        <f t="shared" si="1"/>
        <v>0.36666666666666664</v>
      </c>
      <c r="K5">
        <f t="shared" si="2"/>
        <v>0</v>
      </c>
      <c r="L5">
        <f t="shared" si="3"/>
        <v>6000</v>
      </c>
    </row>
    <row r="6" spans="1:12" x14ac:dyDescent="0.3">
      <c r="A6" t="s">
        <v>23</v>
      </c>
      <c r="B6" t="s">
        <v>24</v>
      </c>
      <c r="C6" t="s">
        <v>14</v>
      </c>
      <c r="D6" t="s">
        <v>11</v>
      </c>
      <c r="E6" s="1">
        <v>45719</v>
      </c>
      <c r="F6">
        <v>7000</v>
      </c>
      <c r="G6">
        <v>4500</v>
      </c>
      <c r="H6">
        <v>0.12</v>
      </c>
      <c r="I6">
        <f t="shared" si="0"/>
        <v>2500</v>
      </c>
      <c r="J6">
        <f t="shared" si="1"/>
        <v>0.35714285714285715</v>
      </c>
      <c r="K6">
        <f t="shared" si="2"/>
        <v>840</v>
      </c>
      <c r="L6">
        <f t="shared" si="3"/>
        <v>6160</v>
      </c>
    </row>
    <row r="7" spans="1:12" x14ac:dyDescent="0.3">
      <c r="A7" t="s">
        <v>25</v>
      </c>
      <c r="B7" t="s">
        <v>9</v>
      </c>
      <c r="C7" t="s">
        <v>10</v>
      </c>
      <c r="D7" t="s">
        <v>11</v>
      </c>
      <c r="E7" s="1">
        <v>45726</v>
      </c>
      <c r="F7">
        <v>5500</v>
      </c>
      <c r="G7">
        <v>3400</v>
      </c>
      <c r="H7">
        <v>7.0000000000000007E-2</v>
      </c>
      <c r="I7">
        <f t="shared" si="0"/>
        <v>2100</v>
      </c>
      <c r="J7">
        <f t="shared" si="1"/>
        <v>0.38181818181818183</v>
      </c>
      <c r="K7">
        <f t="shared" si="2"/>
        <v>385.00000000000006</v>
      </c>
      <c r="L7">
        <f t="shared" si="3"/>
        <v>5115</v>
      </c>
    </row>
    <row r="8" spans="1:12" x14ac:dyDescent="0.3">
      <c r="A8" t="s">
        <v>26</v>
      </c>
      <c r="B8" t="s">
        <v>13</v>
      </c>
      <c r="C8" t="s">
        <v>14</v>
      </c>
      <c r="D8" t="s">
        <v>15</v>
      </c>
      <c r="E8" s="1">
        <v>45728</v>
      </c>
      <c r="F8">
        <v>6200</v>
      </c>
      <c r="G8">
        <v>4100</v>
      </c>
      <c r="H8">
        <v>0.05</v>
      </c>
      <c r="I8">
        <f t="shared" si="0"/>
        <v>2100</v>
      </c>
      <c r="J8">
        <f t="shared" si="1"/>
        <v>0.33870967741935482</v>
      </c>
      <c r="K8">
        <f t="shared" si="2"/>
        <v>310</v>
      </c>
      <c r="L8">
        <f t="shared" si="3"/>
        <v>5890</v>
      </c>
    </row>
    <row r="9" spans="1:12" x14ac:dyDescent="0.3">
      <c r="A9" t="s">
        <v>27</v>
      </c>
      <c r="B9" t="s">
        <v>17</v>
      </c>
      <c r="C9" t="s">
        <v>18</v>
      </c>
      <c r="D9" t="s">
        <v>19</v>
      </c>
      <c r="E9" s="1">
        <v>45731</v>
      </c>
      <c r="F9">
        <v>18000</v>
      </c>
      <c r="G9">
        <v>10800</v>
      </c>
      <c r="H9">
        <v>0.1</v>
      </c>
      <c r="I9">
        <f t="shared" si="0"/>
        <v>7200</v>
      </c>
      <c r="J9">
        <f t="shared" si="1"/>
        <v>0.4</v>
      </c>
      <c r="K9">
        <f t="shared" si="2"/>
        <v>1800</v>
      </c>
      <c r="L9">
        <f t="shared" si="3"/>
        <v>16200</v>
      </c>
    </row>
    <row r="10" spans="1:12" x14ac:dyDescent="0.3">
      <c r="A10" t="s">
        <v>28</v>
      </c>
      <c r="B10" t="s">
        <v>21</v>
      </c>
      <c r="C10" t="s">
        <v>10</v>
      </c>
      <c r="D10" t="s">
        <v>22</v>
      </c>
      <c r="E10" s="1">
        <v>45736</v>
      </c>
      <c r="F10">
        <v>6500</v>
      </c>
      <c r="G10">
        <v>4000</v>
      </c>
      <c r="H10">
        <v>0.03</v>
      </c>
      <c r="I10">
        <f t="shared" si="0"/>
        <v>2500</v>
      </c>
      <c r="J10">
        <f t="shared" si="1"/>
        <v>0.38461538461538464</v>
      </c>
      <c r="K10">
        <f t="shared" si="2"/>
        <v>195</v>
      </c>
      <c r="L10">
        <f t="shared" si="3"/>
        <v>6305</v>
      </c>
    </row>
    <row r="11" spans="1:12" x14ac:dyDescent="0.3">
      <c r="A11" t="s">
        <v>29</v>
      </c>
      <c r="B11" t="s">
        <v>24</v>
      </c>
      <c r="C11" t="s">
        <v>14</v>
      </c>
      <c r="D11" t="s">
        <v>11</v>
      </c>
      <c r="E11" s="1">
        <v>45741</v>
      </c>
      <c r="F11">
        <v>7200</v>
      </c>
      <c r="G11">
        <v>4600</v>
      </c>
      <c r="H11">
        <v>0</v>
      </c>
      <c r="I11">
        <f t="shared" si="0"/>
        <v>2600</v>
      </c>
      <c r="J11">
        <f t="shared" si="1"/>
        <v>0.3611111111111111</v>
      </c>
      <c r="K11">
        <f t="shared" si="2"/>
        <v>0</v>
      </c>
      <c r="L11">
        <f t="shared" si="3"/>
        <v>7200</v>
      </c>
    </row>
    <row r="13" spans="1:12" x14ac:dyDescent="0.3">
      <c r="A13" s="4" t="s">
        <v>36</v>
      </c>
      <c r="B13" t="s">
        <v>34</v>
      </c>
      <c r="C13" t="s">
        <v>35</v>
      </c>
      <c r="D13" t="s">
        <v>38</v>
      </c>
      <c r="F13" s="4" t="s">
        <v>36</v>
      </c>
      <c r="G13" t="s">
        <v>34</v>
      </c>
    </row>
    <row r="14" spans="1:12" x14ac:dyDescent="0.3">
      <c r="A14" s="5" t="s">
        <v>9</v>
      </c>
      <c r="B14" s="3">
        <v>9865</v>
      </c>
      <c r="C14" s="3">
        <v>3900</v>
      </c>
      <c r="D14" s="3">
        <v>0.37090909090909091</v>
      </c>
      <c r="F14" s="5" t="s">
        <v>10</v>
      </c>
      <c r="G14" s="3">
        <v>22170</v>
      </c>
    </row>
    <row r="15" spans="1:12" x14ac:dyDescent="0.3">
      <c r="A15" s="5" t="s">
        <v>21</v>
      </c>
      <c r="B15" s="3">
        <v>12305</v>
      </c>
      <c r="C15" s="3">
        <v>4700</v>
      </c>
      <c r="D15" s="3">
        <v>0.37564102564102564</v>
      </c>
      <c r="F15" s="6" t="s">
        <v>11</v>
      </c>
      <c r="G15" s="3">
        <v>9865</v>
      </c>
    </row>
    <row r="16" spans="1:12" x14ac:dyDescent="0.3">
      <c r="A16" s="5" t="s">
        <v>17</v>
      </c>
      <c r="B16" s="3">
        <v>30000</v>
      </c>
      <c r="C16" s="3">
        <v>13200</v>
      </c>
      <c r="D16" s="3">
        <v>0.4</v>
      </c>
      <c r="F16" s="6" t="s">
        <v>22</v>
      </c>
      <c r="G16" s="3">
        <v>12305</v>
      </c>
    </row>
    <row r="17" spans="1:7" x14ac:dyDescent="0.3">
      <c r="A17" s="5" t="s">
        <v>24</v>
      </c>
      <c r="B17" s="3">
        <v>13360</v>
      </c>
      <c r="C17" s="3">
        <v>5100</v>
      </c>
      <c r="D17" s="3">
        <v>0.35912698412698413</v>
      </c>
      <c r="F17" s="5" t="s">
        <v>18</v>
      </c>
      <c r="G17" s="3">
        <v>30000</v>
      </c>
    </row>
    <row r="18" spans="1:7" x14ac:dyDescent="0.3">
      <c r="A18" s="5" t="s">
        <v>13</v>
      </c>
      <c r="B18" s="3">
        <v>13090</v>
      </c>
      <c r="C18" s="3">
        <v>4900</v>
      </c>
      <c r="D18" s="3">
        <v>0.34435483870967742</v>
      </c>
      <c r="F18" s="6" t="s">
        <v>19</v>
      </c>
      <c r="G18" s="3">
        <v>30000</v>
      </c>
    </row>
    <row r="19" spans="1:7" x14ac:dyDescent="0.3">
      <c r="A19" s="5" t="s">
        <v>37</v>
      </c>
      <c r="B19" s="3">
        <v>78620</v>
      </c>
      <c r="C19" s="3">
        <v>31800</v>
      </c>
      <c r="D19" s="3">
        <v>0.37000638787735562</v>
      </c>
      <c r="F19" s="5" t="s">
        <v>14</v>
      </c>
      <c r="G19" s="3">
        <v>26450</v>
      </c>
    </row>
    <row r="20" spans="1:7" x14ac:dyDescent="0.3">
      <c r="F20" s="6" t="s">
        <v>11</v>
      </c>
      <c r="G20" s="3">
        <v>13360</v>
      </c>
    </row>
    <row r="21" spans="1:7" x14ac:dyDescent="0.3">
      <c r="A21" s="4" t="s">
        <v>36</v>
      </c>
      <c r="B21" t="s">
        <v>34</v>
      </c>
      <c r="C21" t="s">
        <v>39</v>
      </c>
      <c r="F21" s="6" t="s">
        <v>15</v>
      </c>
      <c r="G21" s="3">
        <v>13090</v>
      </c>
    </row>
    <row r="22" spans="1:7" x14ac:dyDescent="0.3">
      <c r="A22" s="5" t="s">
        <v>9</v>
      </c>
      <c r="B22" s="3">
        <v>9865</v>
      </c>
      <c r="C22" s="8" t="s">
        <v>40</v>
      </c>
    </row>
    <row r="23" spans="1:7" x14ac:dyDescent="0.3">
      <c r="A23" s="5" t="s">
        <v>21</v>
      </c>
      <c r="B23" s="3">
        <v>12305</v>
      </c>
      <c r="C23" s="7" t="s">
        <v>41</v>
      </c>
    </row>
    <row r="24" spans="1:7" x14ac:dyDescent="0.3">
      <c r="A24" s="5" t="s">
        <v>17</v>
      </c>
      <c r="B24" s="3">
        <v>30000</v>
      </c>
      <c r="C24" s="8" t="s">
        <v>42</v>
      </c>
    </row>
    <row r="25" spans="1:7" x14ac:dyDescent="0.3">
      <c r="A25" s="5" t="s">
        <v>24</v>
      </c>
      <c r="B25" s="3">
        <v>13360</v>
      </c>
      <c r="C25" t="s">
        <v>43</v>
      </c>
    </row>
    <row r="26" spans="1:7" x14ac:dyDescent="0.3">
      <c r="A26" s="5" t="s">
        <v>13</v>
      </c>
      <c r="B26" s="3">
        <v>13090</v>
      </c>
      <c r="C26" s="8" t="s">
        <v>44</v>
      </c>
      <c r="D26" s="9"/>
      <c r="E26" s="9"/>
      <c r="F26" s="9"/>
      <c r="G26" s="9"/>
    </row>
    <row r="27" spans="1:7" x14ac:dyDescent="0.3">
      <c r="A27" s="5" t="s">
        <v>37</v>
      </c>
      <c r="B27" s="3">
        <v>78620</v>
      </c>
    </row>
  </sheetData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Adnaan</dc:creator>
  <cp:lastModifiedBy>Danish Adnaan</cp:lastModifiedBy>
  <dcterms:created xsi:type="dcterms:W3CDTF">2026-04-03T11:49:08Z</dcterms:created>
  <dcterms:modified xsi:type="dcterms:W3CDTF">2026-04-03T13:50:54Z</dcterms:modified>
</cp:coreProperties>
</file>