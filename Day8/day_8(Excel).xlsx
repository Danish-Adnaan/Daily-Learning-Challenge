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nis\OneDrive\Desktop\Learning_Challenge\PowerBI_or_Excel\"/>
    </mc:Choice>
  </mc:AlternateContent>
  <xr:revisionPtr revIDLastSave="0" documentId="13_ncr:1_{E3B71A66-20FA-43DB-BA84-E33DED4A270E}" xr6:coauthVersionLast="47" xr6:coauthVersionMax="47" xr10:uidLastSave="{00000000-0000-0000-0000-000000000000}"/>
  <bookViews>
    <workbookView xWindow="-108" yWindow="-108" windowWidth="23256" windowHeight="12456" xr2:uid="{8C00BFE0-98DC-4A57-BB2B-60B8701DC5BA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N2" i="1"/>
  <c r="M2" i="1"/>
  <c r="L2" i="1"/>
  <c r="K2" i="1"/>
  <c r="N4" i="1"/>
  <c r="N5" i="1"/>
  <c r="N6" i="1"/>
  <c r="N7" i="1"/>
  <c r="N8" i="1"/>
  <c r="N9" i="1"/>
  <c r="N10" i="1"/>
  <c r="N11" i="1"/>
  <c r="N3" i="1"/>
  <c r="M4" i="1"/>
  <c r="M5" i="1"/>
  <c r="M6" i="1"/>
  <c r="M7" i="1"/>
  <c r="M8" i="1"/>
  <c r="M9" i="1"/>
  <c r="M10" i="1"/>
  <c r="M11" i="1"/>
  <c r="M3" i="1"/>
  <c r="L3" i="1"/>
  <c r="L4" i="1"/>
  <c r="L5" i="1"/>
  <c r="L6" i="1"/>
  <c r="L7" i="1"/>
  <c r="L8" i="1"/>
  <c r="L9" i="1"/>
  <c r="L10" i="1"/>
  <c r="L11" i="1"/>
  <c r="K3" i="1"/>
  <c r="K4" i="1"/>
  <c r="K5" i="1"/>
  <c r="K6" i="1"/>
  <c r="K7" i="1"/>
  <c r="K8" i="1"/>
  <c r="K9" i="1"/>
  <c r="K10" i="1"/>
  <c r="K11" i="1"/>
  <c r="J3" i="1"/>
  <c r="J4" i="1"/>
  <c r="J5" i="1"/>
  <c r="J6" i="1"/>
  <c r="J7" i="1"/>
  <c r="J8" i="1"/>
  <c r="J9" i="1"/>
  <c r="J10" i="1"/>
  <c r="J11" i="1"/>
  <c r="L18" i="1"/>
</calcChain>
</file>

<file path=xl/sharedStrings.xml><?xml version="1.0" encoding="utf-8"?>
<sst xmlns="http://schemas.openxmlformats.org/spreadsheetml/2006/main" count="93" uniqueCount="54">
  <si>
    <t>OrderID</t>
  </si>
  <si>
    <t>OrderDate</t>
  </si>
  <si>
    <t>Customer</t>
  </si>
  <si>
    <t>Region</t>
  </si>
  <si>
    <t>Category</t>
  </si>
  <si>
    <t>Units</t>
  </si>
  <si>
    <t>UnitPrice</t>
  </si>
  <si>
    <t>DiscountPct</t>
  </si>
  <si>
    <t>ShipDate</t>
  </si>
  <si>
    <t>O001</t>
  </si>
  <si>
    <t>Asha</t>
  </si>
  <si>
    <t>North</t>
  </si>
  <si>
    <t>Electronics</t>
  </si>
  <si>
    <t>O002</t>
  </si>
  <si>
    <t>Rohit</t>
  </si>
  <si>
    <t>South</t>
  </si>
  <si>
    <t>Furniture</t>
  </si>
  <si>
    <t>O003</t>
  </si>
  <si>
    <t>Lakshmi</t>
  </si>
  <si>
    <t>East</t>
  </si>
  <si>
    <t>O004</t>
  </si>
  <si>
    <t>Imran</t>
  </si>
  <si>
    <t>West</t>
  </si>
  <si>
    <t>Office</t>
  </si>
  <si>
    <t>O005</t>
  </si>
  <si>
    <t>Neha</t>
  </si>
  <si>
    <t>O006</t>
  </si>
  <si>
    <t>O007</t>
  </si>
  <si>
    <t>O008</t>
  </si>
  <si>
    <t>O009</t>
  </si>
  <si>
    <t>O010</t>
  </si>
  <si>
    <t>GrossSales</t>
  </si>
  <si>
    <t>NetSales</t>
  </si>
  <si>
    <t>OrderMonth</t>
  </si>
  <si>
    <t>DaysToShip</t>
  </si>
  <si>
    <t>FastShipFlag</t>
  </si>
  <si>
    <t>Sum of NetSales</t>
  </si>
  <si>
    <t>Row Labels</t>
  </si>
  <si>
    <t>Grand Total</t>
  </si>
  <si>
    <t>Column Labels</t>
  </si>
  <si>
    <t>Average of DaysToShip</t>
  </si>
  <si>
    <t>Count of OrderID</t>
  </si>
  <si>
    <t>Fast</t>
  </si>
  <si>
    <t>Normal</t>
  </si>
  <si>
    <t>North - Furniture</t>
  </si>
  <si>
    <r>
      <t>1. Which </t>
    </r>
    <r>
      <rPr>
        <sz val="10"/>
        <color theme="1"/>
        <rFont val="Georgia"/>
        <family val="1"/>
      </rPr>
      <t>Region–Category</t>
    </r>
    <r>
      <rPr>
        <sz val="10"/>
        <color theme="1"/>
        <rFont val="Georgia"/>
        <family val="1"/>
      </rPr>
      <t> combo has the highest NetSales?</t>
    </r>
  </si>
  <si>
    <t>3. What percentage of all orders are shipped as Fast? (You can compute this with a formula, not just by eye.)</t>
  </si>
  <si>
    <t>$J19-($J19*$H19)</t>
  </si>
  <si>
    <t>TEXT(B2,"yyyy-mm")</t>
  </si>
  <si>
    <t>I2-B2</t>
  </si>
  <si>
    <t>IF(M2&lt;=5,"Fast","Normal")</t>
  </si>
  <si>
    <t>F2*G2</t>
  </si>
  <si>
    <t xml:space="preserve">Column Formula: </t>
  </si>
  <si>
    <t>2. Which Customer has the fastest average shipping?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</si>
</sst>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indent="1"/>
    </xf>
    <xf numFmtId="0" fontId="0" fillId="2" borderId="0" xfId="0" applyFill="1"/>
    <xf numFmtId="0" fontId="0" fillId="3" borderId="0" xfId="0" applyFill="1"/>
    <xf numFmtId="0" fontId="0" fillId="0" borderId="0" xfId="0" applyAlignme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[day_8(Excel).xlsx]Sheet1!PivotTable1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Sheet1!$B$13:$B$14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Sheet1!$A$15:$A$18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</c:v>
                </c:pt>
              </c:strCache>
            </c:strRef>
          </c:cat>
          <c:val>
            <c:numRef>
              <c:f>Sheet1!$B$15:$B$18</c:f>
              <c:numCache>
                <c:formatCode>General</c:formatCode>
                <c:ptCount val="3"/>
                <c:pt idx="0">
                  <c:v>5200</c:v>
                </c:pt>
                <c:pt idx="1">
                  <c:v>7125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C-4FE5-80EC-EDBC4DABD7BE}"/>
            </c:ext>
          </c:extLst>
        </c:ser>
        <c:ser>
          <c:idx val="1"/>
          <c:order val="1"/>
          <c:tx>
            <c:strRef>
              <c:f>Sheet1!$C$13:$C$14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Sheet1!$A$15:$A$18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</c:v>
                </c:pt>
              </c:strCache>
            </c:strRef>
          </c:cat>
          <c:val>
            <c:numRef>
              <c:f>Sheet1!$C$15:$C$18</c:f>
              <c:numCache>
                <c:formatCode>General</c:formatCode>
                <c:ptCount val="3"/>
                <c:pt idx="0">
                  <c:v>12825</c:v>
                </c:pt>
                <c:pt idx="1">
                  <c:v>27200</c:v>
                </c:pt>
                <c:pt idx="2">
                  <c:v>13310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C-4FE5-80EC-EDBC4DABD7BE}"/>
            </c:ext>
          </c:extLst>
        </c:ser>
        <c:ser>
          <c:idx val="2"/>
          <c:order val="2"/>
          <c:tx>
            <c:strRef>
              <c:f>Sheet1!$D$13:$D$14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Sheet1!$A$15:$A$18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</c:v>
                </c:pt>
              </c:strCache>
            </c:strRef>
          </c:cat>
          <c:val>
            <c:numRef>
              <c:f>Sheet1!$D$15:$D$18</c:f>
              <c:numCache>
                <c:formatCode>General</c:formatCode>
                <c:ptCount val="3"/>
                <c:pt idx="0">
                  <c:v>8160</c:v>
                </c:pt>
                <c:pt idx="1">
                  <c:v>12600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7C-4FE5-80EC-EDBC4DABD7BE}"/>
            </c:ext>
          </c:extLst>
        </c:ser>
        <c:ser>
          <c:idx val="3"/>
          <c:order val="3"/>
          <c:tx>
            <c:strRef>
              <c:f>Sheet1!$E$13:$E$14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Sheet1!$A$15:$A$18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</c:v>
                </c:pt>
              </c:strCache>
            </c:strRef>
          </c:cat>
          <c:val>
            <c:numRef>
              <c:f>Sheet1!$E$15:$E$18</c:f>
              <c:numCache>
                <c:formatCode>General</c:formatCode>
                <c:ptCount val="3"/>
                <c:pt idx="0">
                  <c:v>13800</c:v>
                </c:pt>
                <c:pt idx="2">
                  <c:v>5520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7C-4FE5-80EC-EDBC4DABD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100"/>
        <c:axId val="1500133920"/>
        <c:axId val="1500136800"/>
      </c:barChart>
      <c:catAx>
        <c:axId val="150013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136800"/>
        <c:crosses val="autoZero"/>
        <c:auto val="1"/>
        <c:lblAlgn val="ctr"/>
        <c:lblOffset val="100"/>
        <c:noMultiLvlLbl val="0"/>
      </c:catAx>
      <c:valAx>
        <c:axId val="1500136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0013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[day_8(Excel).xlsx]Sheet1!PivotTable17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General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2396953901889026E-2"/>
          <c:y val="0.39902622466309356"/>
          <c:w val="0.90290825715751044"/>
          <c:h val="0.4687264542014081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Sheet1!$K$14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General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Sheet1!$J$15:$J$17</c:f>
              <c:strCache>
                <c:ptCount val="2"/>
                <c:pt idx="0">
                  <c:v>Fast</c:v>
                </c:pt>
                <c:pt idx="1">
                  <c:v>Normal</c:v>
                </c:pt>
              </c:strCache>
            </c:strRef>
          </c:cat>
          <c:val>
            <c:numRef>
              <c:f>Sheet1!$K$15:$K$17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3-46BA-A8C3-D83FD3EA1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0189024"/>
        <c:axId val="1510201984"/>
        <c:axId val="0"/>
      </c:bar3DChart>
      <c:catAx>
        <c:axId val="151018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01984"/>
        <c:crosses val="autoZero"/>
        <c:auto val="1"/>
        <c:lblAlgn val="ctr"/>
        <c:lblOffset val="100"/>
        <c:noMultiLvlLbl val="0"/>
      </c:catAx>
      <c:valAx>
        <c:axId val="151020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8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91440</xdr:rowOff>
    </xdr:from>
    <xdr:to>
      <xdr:col>6</xdr:col>
      <xdr:colOff>30480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0CBBB-9810-E357-20A3-3FD1237F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</xdr:colOff>
      <xdr:row>10</xdr:row>
      <xdr:rowOff>167640</xdr:rowOff>
    </xdr:from>
    <xdr:to>
      <xdr:col>8</xdr:col>
      <xdr:colOff>899160</xdr:colOff>
      <xdr:row>22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34E98F-B07B-B950-3638-388A173DB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sh Adnaan" refreshedDate="46116.614446990738" createdVersion="8" refreshedVersion="8" minRefreshableVersion="3" recordCount="10" xr:uid="{490A94BA-40C1-44C9-AC16-5E3309FF8053}">
  <cacheSource type="worksheet">
    <worksheetSource ref="A1:N11" sheet="Sheet1"/>
  </cacheSource>
  <cacheFields count="14">
    <cacheField name="OrderID" numFmtId="0">
      <sharedItems count="10">
        <s v="O001"/>
        <s v="O002"/>
        <s v="O003"/>
        <s v="O004"/>
        <s v="O005"/>
        <s v="O006"/>
        <s v="O007"/>
        <s v="O008"/>
        <s v="O009"/>
        <s v="O010"/>
      </sharedItems>
    </cacheField>
    <cacheField name="OrderDate" numFmtId="14">
      <sharedItems containsSemiMixedTypes="0" containsNonDate="0" containsDate="1" containsString="0" minDate="2025-01-05T00:00:00" maxDate="2025-03-01T00:00:00"/>
    </cacheField>
    <cacheField name="Customer" numFmtId="0">
      <sharedItems count="5">
        <s v="Asha"/>
        <s v="Rohit"/>
        <s v="Lakshmi"/>
        <s v="Imran"/>
        <s v="Neha"/>
      </sharedItems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 count="3">
        <s v="Electronics"/>
        <s v="Furniture"/>
        <s v="Office"/>
      </sharedItems>
    </cacheField>
    <cacheField name="Units" numFmtId="0">
      <sharedItems containsSemiMixedTypes="0" containsString="0" containsNumber="1" containsInteger="1" minValue="1" maxValue="8"/>
    </cacheField>
    <cacheField name="UnitPrice" numFmtId="0">
      <sharedItems containsSemiMixedTypes="0" containsString="0" containsNumber="1" containsInteger="1" minValue="1000" maxValue="7500"/>
    </cacheField>
    <cacheField name="DiscountPct" numFmtId="0">
      <sharedItems containsSemiMixedTypes="0" containsString="0" containsNumber="1" minValue="0" maxValue="0.15"/>
    </cacheField>
    <cacheField name="ShipDate" numFmtId="14">
      <sharedItems containsSemiMixedTypes="0" containsNonDate="0" containsDate="1" containsString="0" minDate="2025-01-08T00:00:00" maxDate="2025-03-06T00:00:00"/>
    </cacheField>
    <cacheField name="GrossSales" numFmtId="0">
      <sharedItems containsSemiMixedTypes="0" containsString="0" containsNumber="1" containsInteger="1" minValue="5200" maxValue="27200"/>
    </cacheField>
    <cacheField name="NetSales" numFmtId="0">
      <sharedItems containsSemiMixedTypes="0" containsString="0" containsNumber="1" containsInteger="1" minValue="5200" maxValue="27200"/>
    </cacheField>
    <cacheField name="OrderMonth" numFmtId="0">
      <sharedItems/>
    </cacheField>
    <cacheField name="DaysToShip" numFmtId="0">
      <sharedItems containsSemiMixedTypes="0" containsString="0" containsNumber="1" containsInteger="1" minValue="2" maxValue="11"/>
    </cacheField>
    <cacheField name="FastShipFlag" numFmtId="0">
      <sharedItems count="2">
        <s v="Fast"/>
        <s v="Norm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d v="2025-01-05T00:00:00"/>
    <x v="0"/>
    <x v="0"/>
    <x v="0"/>
    <n v="3"/>
    <n v="4500"/>
    <n v="0.05"/>
    <d v="2025-01-08T00:00:00"/>
    <n v="13500"/>
    <n v="12825"/>
    <s v="2025-01"/>
    <n v="3"/>
    <x v="0"/>
  </r>
  <r>
    <x v="1"/>
    <d v="2025-01-10T00:00:00"/>
    <x v="1"/>
    <x v="1"/>
    <x v="1"/>
    <n v="2"/>
    <n v="7000"/>
    <n v="0.1"/>
    <d v="2025-01-20T00:00:00"/>
    <n v="14000"/>
    <n v="12600"/>
    <s v="2025-01"/>
    <n v="10"/>
    <x v="1"/>
  </r>
  <r>
    <x v="2"/>
    <d v="2025-01-12T00:00:00"/>
    <x v="2"/>
    <x v="2"/>
    <x v="0"/>
    <n v="1"/>
    <n v="5200"/>
    <n v="0"/>
    <d v="2025-01-14T00:00:00"/>
    <n v="5200"/>
    <n v="5200"/>
    <s v="2025-01"/>
    <n v="2"/>
    <x v="0"/>
  </r>
  <r>
    <x v="3"/>
    <d v="2025-01-18T00:00:00"/>
    <x v="3"/>
    <x v="3"/>
    <x v="2"/>
    <n v="5"/>
    <n v="1200"/>
    <n v="0.08"/>
    <d v="2025-01-25T00:00:00"/>
    <n v="6000"/>
    <n v="5520"/>
    <s v="2025-01"/>
    <n v="7"/>
    <x v="1"/>
  </r>
  <r>
    <x v="4"/>
    <d v="2025-01-25T00:00:00"/>
    <x v="4"/>
    <x v="0"/>
    <x v="1"/>
    <n v="4"/>
    <n v="6800"/>
    <n v="0"/>
    <d v="2025-02-05T00:00:00"/>
    <n v="27200"/>
    <n v="27200"/>
    <s v="2025-01"/>
    <n v="11"/>
    <x v="1"/>
  </r>
  <r>
    <x v="5"/>
    <d v="2025-02-02T00:00:00"/>
    <x v="0"/>
    <x v="0"/>
    <x v="2"/>
    <n v="6"/>
    <n v="1100"/>
    <n v="0.05"/>
    <d v="2025-02-10T00:00:00"/>
    <n v="6600"/>
    <n v="6270"/>
    <s v="2025-02"/>
    <n v="8"/>
    <x v="1"/>
  </r>
  <r>
    <x v="6"/>
    <d v="2025-02-10T00:00:00"/>
    <x v="1"/>
    <x v="1"/>
    <x v="0"/>
    <n v="2"/>
    <n v="4800"/>
    <n v="0.15"/>
    <d v="2025-02-18T00:00:00"/>
    <n v="9600"/>
    <n v="8160"/>
    <s v="2025-02"/>
    <n v="8"/>
    <x v="1"/>
  </r>
  <r>
    <x v="7"/>
    <d v="2025-02-15T00:00:00"/>
    <x v="2"/>
    <x v="2"/>
    <x v="1"/>
    <n v="1"/>
    <n v="7500"/>
    <n v="0.05"/>
    <d v="2025-02-22T00:00:00"/>
    <n v="7500"/>
    <n v="7125"/>
    <s v="2025-02"/>
    <n v="7"/>
    <x v="1"/>
  </r>
  <r>
    <x v="8"/>
    <d v="2025-02-20T00:00:00"/>
    <x v="3"/>
    <x v="3"/>
    <x v="0"/>
    <n v="3"/>
    <n v="4600"/>
    <n v="0"/>
    <d v="2025-02-24T00:00:00"/>
    <n v="13800"/>
    <n v="13800"/>
    <s v="2025-02"/>
    <n v="4"/>
    <x v="0"/>
  </r>
  <r>
    <x v="9"/>
    <d v="2025-02-28T00:00:00"/>
    <x v="4"/>
    <x v="0"/>
    <x v="2"/>
    <n v="8"/>
    <n v="1000"/>
    <n v="0.12"/>
    <d v="2025-03-05T00:00:00"/>
    <n v="8000"/>
    <n v="7040"/>
    <s v="2025-02"/>
    <n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2F467-6522-40A3-B265-CAA487AEEEC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3:F18" firstHeaderRow="1" firstDataRow="2" firstDataCol="1"/>
  <pivotFields count="14">
    <pivotField showAll="0"/>
    <pivotField numFmtId="14" showAll="0"/>
    <pivotField showAll="0"/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Sales" fld="1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405D2-DDDD-41B0-ABC2-4A0968335482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16">
  <location ref="J14:K17" firstHeaderRow="1" firstDataRow="1" firstDataCol="1"/>
  <pivotFields count="14"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OrderID" fld="0" subtotal="count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6E2F8-651B-4D80-A4F9-CAE2506E751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4:H20" firstHeaderRow="1" firstDataRow="1" firstDataCol="1"/>
  <pivotFields count="14">
    <pivotField showAll="0"/>
    <pivotField numFmtId="14"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aysToShip" fld="12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64E7-FA67-4B87-9430-9E840CEB1E0D}">
  <dimension ref="A1:N25"/>
  <sheetViews>
    <sheetView tabSelected="1" workbookViewId="0">
      <selection activeCell="J24" sqref="J24"/>
    </sheetView>
  </sheetViews>
  <sheetFormatPr defaultRowHeight="14.4" x14ac:dyDescent="0.3"/>
  <cols>
    <col min="1" max="1" width="14.77734375" bestFit="1" customWidth="1"/>
    <col min="2" max="2" width="15.5546875" bestFit="1" customWidth="1"/>
    <col min="3" max="4" width="6" bestFit="1" customWidth="1"/>
    <col min="5" max="5" width="9.88671875" bestFit="1" customWidth="1"/>
    <col min="6" max="6" width="12.44140625" customWidth="1"/>
    <col min="7" max="7" width="14.88671875" customWidth="1"/>
    <col min="8" max="8" width="20.5546875" bestFit="1" customWidth="1"/>
    <col min="9" max="9" width="13.33203125" customWidth="1"/>
    <col min="10" max="10" width="14.77734375" customWidth="1"/>
    <col min="11" max="11" width="15.44140625" bestFit="1" customWidth="1"/>
    <col min="12" max="12" width="14.33203125" customWidth="1"/>
    <col min="13" max="13" width="17.77734375" customWidth="1"/>
    <col min="14" max="14" width="23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3">
      <c r="A2" t="s">
        <v>9</v>
      </c>
      <c r="B2" s="1">
        <v>45662</v>
      </c>
      <c r="C2" t="s">
        <v>10</v>
      </c>
      <c r="D2" t="s">
        <v>11</v>
      </c>
      <c r="E2" t="s">
        <v>12</v>
      </c>
      <c r="F2">
        <v>3</v>
      </c>
      <c r="G2">
        <v>4500</v>
      </c>
      <c r="H2">
        <v>0.05</v>
      </c>
      <c r="I2" s="1">
        <v>45665</v>
      </c>
      <c r="J2">
        <f>F2*G2</f>
        <v>13500</v>
      </c>
      <c r="K2">
        <f>$J2-($J2*$H2)</f>
        <v>12825</v>
      </c>
      <c r="L2" t="str">
        <f>TEXT(B2,"yyyy-mm")</f>
        <v>2025-01</v>
      </c>
      <c r="M2">
        <f>I2-B2</f>
        <v>3</v>
      </c>
      <c r="N2" t="str">
        <f>IF(M2&lt;=5,"Fast","Normal")</f>
        <v>Fast</v>
      </c>
    </row>
    <row r="3" spans="1:14" x14ac:dyDescent="0.3">
      <c r="A3" t="s">
        <v>13</v>
      </c>
      <c r="B3" s="1">
        <v>45667</v>
      </c>
      <c r="C3" t="s">
        <v>14</v>
      </c>
      <c r="D3" t="s">
        <v>15</v>
      </c>
      <c r="E3" t="s">
        <v>16</v>
      </c>
      <c r="F3">
        <v>2</v>
      </c>
      <c r="G3">
        <v>7000</v>
      </c>
      <c r="H3">
        <v>0.1</v>
      </c>
      <c r="I3" s="1">
        <v>45677</v>
      </c>
      <c r="J3">
        <f t="shared" ref="J3:J11" si="0">F3*G3</f>
        <v>14000</v>
      </c>
      <c r="K3">
        <f t="shared" ref="K3:K11" si="1">J3-(J3*H3)</f>
        <v>12600</v>
      </c>
      <c r="L3" t="str">
        <f t="shared" ref="L3:L11" si="2">TEXT(B3,"yyyy-mm")</f>
        <v>2025-01</v>
      </c>
      <c r="M3">
        <f>I3-B3</f>
        <v>10</v>
      </c>
      <c r="N3" t="str">
        <f>IF(M3&lt;=5,"Fast","Normal")</f>
        <v>Normal</v>
      </c>
    </row>
    <row r="4" spans="1:14" x14ac:dyDescent="0.3">
      <c r="A4" t="s">
        <v>17</v>
      </c>
      <c r="B4" s="1">
        <v>45669</v>
      </c>
      <c r="C4" t="s">
        <v>18</v>
      </c>
      <c r="D4" t="s">
        <v>19</v>
      </c>
      <c r="E4" t="s">
        <v>12</v>
      </c>
      <c r="F4">
        <v>1</v>
      </c>
      <c r="G4">
        <v>5200</v>
      </c>
      <c r="H4">
        <v>0</v>
      </c>
      <c r="I4" s="1">
        <v>45671</v>
      </c>
      <c r="J4">
        <f t="shared" si="0"/>
        <v>5200</v>
      </c>
      <c r="K4">
        <f t="shared" si="1"/>
        <v>5200</v>
      </c>
      <c r="L4" t="str">
        <f t="shared" si="2"/>
        <v>2025-01</v>
      </c>
      <c r="M4">
        <f t="shared" ref="M4:M11" si="3">I4-B4</f>
        <v>2</v>
      </c>
      <c r="N4" t="str">
        <f t="shared" ref="N4:N11" si="4">IF(M4&lt;=5,"Fast","Normal")</f>
        <v>Fast</v>
      </c>
    </row>
    <row r="5" spans="1:14" x14ac:dyDescent="0.3">
      <c r="A5" t="s">
        <v>20</v>
      </c>
      <c r="B5" s="1">
        <v>45675</v>
      </c>
      <c r="C5" t="s">
        <v>21</v>
      </c>
      <c r="D5" t="s">
        <v>22</v>
      </c>
      <c r="E5" t="s">
        <v>23</v>
      </c>
      <c r="F5">
        <v>5</v>
      </c>
      <c r="G5">
        <v>1200</v>
      </c>
      <c r="H5">
        <v>0.08</v>
      </c>
      <c r="I5" s="1">
        <v>45682</v>
      </c>
      <c r="J5">
        <f t="shared" si="0"/>
        <v>6000</v>
      </c>
      <c r="K5">
        <f t="shared" si="1"/>
        <v>5520</v>
      </c>
      <c r="L5" t="str">
        <f t="shared" si="2"/>
        <v>2025-01</v>
      </c>
      <c r="M5">
        <f t="shared" si="3"/>
        <v>7</v>
      </c>
      <c r="N5" t="str">
        <f t="shared" si="4"/>
        <v>Normal</v>
      </c>
    </row>
    <row r="6" spans="1:14" x14ac:dyDescent="0.3">
      <c r="A6" t="s">
        <v>24</v>
      </c>
      <c r="B6" s="1">
        <v>45682</v>
      </c>
      <c r="C6" t="s">
        <v>25</v>
      </c>
      <c r="D6" t="s">
        <v>11</v>
      </c>
      <c r="E6" t="s">
        <v>16</v>
      </c>
      <c r="F6">
        <v>4</v>
      </c>
      <c r="G6">
        <v>6800</v>
      </c>
      <c r="H6">
        <v>0</v>
      </c>
      <c r="I6" s="1">
        <v>45693</v>
      </c>
      <c r="J6">
        <f t="shared" si="0"/>
        <v>27200</v>
      </c>
      <c r="K6">
        <f t="shared" si="1"/>
        <v>27200</v>
      </c>
      <c r="L6" t="str">
        <f t="shared" si="2"/>
        <v>2025-01</v>
      </c>
      <c r="M6">
        <f t="shared" si="3"/>
        <v>11</v>
      </c>
      <c r="N6" t="str">
        <f t="shared" si="4"/>
        <v>Normal</v>
      </c>
    </row>
    <row r="7" spans="1:14" x14ac:dyDescent="0.3">
      <c r="A7" t="s">
        <v>26</v>
      </c>
      <c r="B7" s="1">
        <v>45690</v>
      </c>
      <c r="C7" t="s">
        <v>10</v>
      </c>
      <c r="D7" t="s">
        <v>11</v>
      </c>
      <c r="E7" t="s">
        <v>23</v>
      </c>
      <c r="F7">
        <v>6</v>
      </c>
      <c r="G7">
        <v>1100</v>
      </c>
      <c r="H7">
        <v>0.05</v>
      </c>
      <c r="I7" s="1">
        <v>45698</v>
      </c>
      <c r="J7">
        <f t="shared" si="0"/>
        <v>6600</v>
      </c>
      <c r="K7">
        <f t="shared" si="1"/>
        <v>6270</v>
      </c>
      <c r="L7" t="str">
        <f t="shared" si="2"/>
        <v>2025-02</v>
      </c>
      <c r="M7">
        <f t="shared" si="3"/>
        <v>8</v>
      </c>
      <c r="N7" t="str">
        <f t="shared" si="4"/>
        <v>Normal</v>
      </c>
    </row>
    <row r="8" spans="1:14" x14ac:dyDescent="0.3">
      <c r="A8" t="s">
        <v>27</v>
      </c>
      <c r="B8" s="1">
        <v>45698</v>
      </c>
      <c r="C8" t="s">
        <v>14</v>
      </c>
      <c r="D8" t="s">
        <v>15</v>
      </c>
      <c r="E8" t="s">
        <v>12</v>
      </c>
      <c r="F8">
        <v>2</v>
      </c>
      <c r="G8">
        <v>4800</v>
      </c>
      <c r="H8">
        <v>0.15</v>
      </c>
      <c r="I8" s="1">
        <v>45706</v>
      </c>
      <c r="J8">
        <f t="shared" si="0"/>
        <v>9600</v>
      </c>
      <c r="K8">
        <f t="shared" si="1"/>
        <v>8160</v>
      </c>
      <c r="L8" t="str">
        <f t="shared" si="2"/>
        <v>2025-02</v>
      </c>
      <c r="M8">
        <f t="shared" si="3"/>
        <v>8</v>
      </c>
      <c r="N8" t="str">
        <f t="shared" si="4"/>
        <v>Normal</v>
      </c>
    </row>
    <row r="9" spans="1:14" x14ac:dyDescent="0.3">
      <c r="A9" t="s">
        <v>28</v>
      </c>
      <c r="B9" s="1">
        <v>45703</v>
      </c>
      <c r="C9" t="s">
        <v>18</v>
      </c>
      <c r="D9" t="s">
        <v>19</v>
      </c>
      <c r="E9" t="s">
        <v>16</v>
      </c>
      <c r="F9">
        <v>1</v>
      </c>
      <c r="G9">
        <v>7500</v>
      </c>
      <c r="H9">
        <v>0.05</v>
      </c>
      <c r="I9" s="1">
        <v>45710</v>
      </c>
      <c r="J9">
        <f t="shared" si="0"/>
        <v>7500</v>
      </c>
      <c r="K9">
        <f t="shared" si="1"/>
        <v>7125</v>
      </c>
      <c r="L9" t="str">
        <f t="shared" si="2"/>
        <v>2025-02</v>
      </c>
      <c r="M9">
        <f t="shared" si="3"/>
        <v>7</v>
      </c>
      <c r="N9" t="str">
        <f t="shared" si="4"/>
        <v>Normal</v>
      </c>
    </row>
    <row r="10" spans="1:14" x14ac:dyDescent="0.3">
      <c r="A10" t="s">
        <v>29</v>
      </c>
      <c r="B10" s="1">
        <v>45708</v>
      </c>
      <c r="C10" t="s">
        <v>21</v>
      </c>
      <c r="D10" t="s">
        <v>22</v>
      </c>
      <c r="E10" t="s">
        <v>12</v>
      </c>
      <c r="F10">
        <v>3</v>
      </c>
      <c r="G10">
        <v>4600</v>
      </c>
      <c r="H10">
        <v>0</v>
      </c>
      <c r="I10" s="1">
        <v>45712</v>
      </c>
      <c r="J10">
        <f t="shared" si="0"/>
        <v>13800</v>
      </c>
      <c r="K10">
        <f t="shared" si="1"/>
        <v>13800</v>
      </c>
      <c r="L10" t="str">
        <f t="shared" si="2"/>
        <v>2025-02</v>
      </c>
      <c r="M10">
        <f t="shared" si="3"/>
        <v>4</v>
      </c>
      <c r="N10" t="str">
        <f t="shared" si="4"/>
        <v>Fast</v>
      </c>
    </row>
    <row r="11" spans="1:14" x14ac:dyDescent="0.3">
      <c r="A11" t="s">
        <v>30</v>
      </c>
      <c r="B11" s="1">
        <v>45716</v>
      </c>
      <c r="C11" t="s">
        <v>25</v>
      </c>
      <c r="D11" t="s">
        <v>11</v>
      </c>
      <c r="E11" t="s">
        <v>23</v>
      </c>
      <c r="F11">
        <v>8</v>
      </c>
      <c r="G11">
        <v>1000</v>
      </c>
      <c r="H11">
        <v>0.12</v>
      </c>
      <c r="I11" s="1">
        <v>45721</v>
      </c>
      <c r="J11">
        <f t="shared" si="0"/>
        <v>8000</v>
      </c>
      <c r="K11">
        <f t="shared" si="1"/>
        <v>7040</v>
      </c>
      <c r="L11" t="str">
        <f t="shared" si="2"/>
        <v>2025-02</v>
      </c>
      <c r="M11">
        <f t="shared" si="3"/>
        <v>5</v>
      </c>
      <c r="N11" t="str">
        <f t="shared" si="4"/>
        <v>Fast</v>
      </c>
    </row>
    <row r="13" spans="1:14" x14ac:dyDescent="0.3">
      <c r="A13" s="2" t="s">
        <v>36</v>
      </c>
      <c r="B13" s="2" t="s">
        <v>39</v>
      </c>
    </row>
    <row r="14" spans="1:14" x14ac:dyDescent="0.3">
      <c r="A14" s="2" t="s">
        <v>37</v>
      </c>
      <c r="B14" t="s">
        <v>19</v>
      </c>
      <c r="C14" t="s">
        <v>11</v>
      </c>
      <c r="D14" t="s">
        <v>15</v>
      </c>
      <c r="E14" t="s">
        <v>22</v>
      </c>
      <c r="F14" t="s">
        <v>38</v>
      </c>
      <c r="G14" s="2" t="s">
        <v>37</v>
      </c>
      <c r="H14" t="s">
        <v>40</v>
      </c>
      <c r="K14" t="s">
        <v>41</v>
      </c>
      <c r="N14" s="8"/>
    </row>
    <row r="15" spans="1:14" x14ac:dyDescent="0.3">
      <c r="A15" s="3" t="s">
        <v>12</v>
      </c>
      <c r="B15">
        <v>5200</v>
      </c>
      <c r="C15">
        <v>12825</v>
      </c>
      <c r="D15">
        <v>8160</v>
      </c>
      <c r="E15">
        <v>13800</v>
      </c>
      <c r="F15">
        <v>39985</v>
      </c>
      <c r="G15" s="3" t="s">
        <v>10</v>
      </c>
      <c r="H15">
        <v>5.5</v>
      </c>
      <c r="J15" s="3" t="s">
        <v>42</v>
      </c>
      <c r="K15">
        <v>4</v>
      </c>
      <c r="L15" s="7" t="s">
        <v>53</v>
      </c>
    </row>
    <row r="16" spans="1:14" x14ac:dyDescent="0.3">
      <c r="A16" s="3" t="s">
        <v>16</v>
      </c>
      <c r="B16">
        <v>7125</v>
      </c>
      <c r="C16">
        <v>27200</v>
      </c>
      <c r="D16">
        <v>12600</v>
      </c>
      <c r="F16">
        <v>46925</v>
      </c>
      <c r="G16" s="3" t="s">
        <v>21</v>
      </c>
      <c r="H16">
        <v>5.5</v>
      </c>
      <c r="J16" s="3" t="s">
        <v>43</v>
      </c>
      <c r="K16">
        <v>6</v>
      </c>
      <c r="L16" s="5" t="s">
        <v>18</v>
      </c>
    </row>
    <row r="17" spans="1:14" x14ac:dyDescent="0.3">
      <c r="A17" s="3" t="s">
        <v>23</v>
      </c>
      <c r="C17">
        <v>13310</v>
      </c>
      <c r="E17">
        <v>5520</v>
      </c>
      <c r="F17">
        <v>18830</v>
      </c>
      <c r="G17" s="3" t="s">
        <v>18</v>
      </c>
      <c r="H17">
        <v>4.5</v>
      </c>
      <c r="J17" s="3" t="s">
        <v>38</v>
      </c>
      <c r="K17">
        <v>10</v>
      </c>
      <c r="L17" t="s">
        <v>46</v>
      </c>
    </row>
    <row r="18" spans="1:14" x14ac:dyDescent="0.3">
      <c r="A18" s="3" t="s">
        <v>38</v>
      </c>
      <c r="B18">
        <v>12325</v>
      </c>
      <c r="C18">
        <v>53335</v>
      </c>
      <c r="D18">
        <v>20760</v>
      </c>
      <c r="E18">
        <v>19320</v>
      </c>
      <c r="F18">
        <v>105740</v>
      </c>
      <c r="G18" s="3" t="s">
        <v>25</v>
      </c>
      <c r="H18">
        <v>8</v>
      </c>
      <c r="L18" s="5">
        <f>(GETPIVOTDATA("OrderID",$J$14,"FastShipFlag","Fast")*100)/SUM(K15:K16)</f>
        <v>40</v>
      </c>
    </row>
    <row r="19" spans="1:14" x14ac:dyDescent="0.3">
      <c r="G19" s="3" t="s">
        <v>14</v>
      </c>
      <c r="H19">
        <v>9</v>
      </c>
    </row>
    <row r="20" spans="1:14" x14ac:dyDescent="0.3">
      <c r="G20" s="3" t="s">
        <v>38</v>
      </c>
      <c r="H20">
        <v>6.5</v>
      </c>
    </row>
    <row r="21" spans="1:14" x14ac:dyDescent="0.3">
      <c r="J21" s="6" t="s">
        <v>52</v>
      </c>
      <c r="K21" s="6" t="s">
        <v>52</v>
      </c>
      <c r="L21" s="6" t="s">
        <v>52</v>
      </c>
      <c r="M21" s="6" t="s">
        <v>52</v>
      </c>
      <c r="N21" s="6" t="s">
        <v>52</v>
      </c>
    </row>
    <row r="22" spans="1:14" x14ac:dyDescent="0.3">
      <c r="J22" s="6" t="s">
        <v>51</v>
      </c>
      <c r="K22" s="6" t="s">
        <v>47</v>
      </c>
      <c r="L22" s="6" t="s">
        <v>48</v>
      </c>
      <c r="M22" s="6" t="s">
        <v>49</v>
      </c>
      <c r="N22" s="6" t="s">
        <v>50</v>
      </c>
    </row>
    <row r="24" spans="1:14" x14ac:dyDescent="0.3">
      <c r="A24" s="4" t="s">
        <v>45</v>
      </c>
    </row>
    <row r="25" spans="1:14" x14ac:dyDescent="0.3">
      <c r="A25" s="5" t="s">
        <v>44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Adnaan</dc:creator>
  <cp:lastModifiedBy>Danish Adnaan</cp:lastModifiedBy>
  <dcterms:created xsi:type="dcterms:W3CDTF">2026-04-04T09:01:38Z</dcterms:created>
  <dcterms:modified xsi:type="dcterms:W3CDTF">2026-04-04T14:02:24Z</dcterms:modified>
</cp:coreProperties>
</file>