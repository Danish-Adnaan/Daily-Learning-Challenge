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is\OneDrive\Desktop\Learning_Challenge\PowerBI_or_Excel\"/>
    </mc:Choice>
  </mc:AlternateContent>
  <xr:revisionPtr revIDLastSave="0" documentId="8_{D1E22A2C-1AED-46C5-BB11-90007775414F}" xr6:coauthVersionLast="47" xr6:coauthVersionMax="47" xr10:uidLastSave="{00000000-0000-0000-0000-000000000000}"/>
  <bookViews>
    <workbookView xWindow="-108" yWindow="-108" windowWidth="23256" windowHeight="12456" xr2:uid="{7E1C8CFF-6FEF-4DB0-BEF7-D1AD0246C658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<sst xmlns="http://schemas.openxmlformats.org/spreadsheetml/2006/main" count="64" uniqueCount="36">
  <si>
    <t>DealID</t>
  </si>
  <si>
    <t>SalesRep</t>
  </si>
  <si>
    <t>Stage</t>
  </si>
  <si>
    <t>DealValue</t>
  </si>
  <si>
    <t>CloseProbability</t>
  </si>
  <si>
    <t>CreatedDate</t>
  </si>
  <si>
    <t>ExpectedCloseDate</t>
  </si>
  <si>
    <t>D001</t>
  </si>
  <si>
    <t>Asha</t>
  </si>
  <si>
    <t>Prospect</t>
  </si>
  <si>
    <t>D002</t>
  </si>
  <si>
    <t>Rohit</t>
  </si>
  <si>
    <t>Proposal</t>
  </si>
  <si>
    <t>D003</t>
  </si>
  <si>
    <t>Lakshmi</t>
  </si>
  <si>
    <t>Negotiation</t>
  </si>
  <si>
    <t>D004</t>
  </si>
  <si>
    <t>Imran</t>
  </si>
  <si>
    <t>Closed Won</t>
  </si>
  <si>
    <t>D005</t>
  </si>
  <si>
    <t>Neha</t>
  </si>
  <si>
    <t>D006</t>
  </si>
  <si>
    <t>D007</t>
  </si>
  <si>
    <t>Closed Lost</t>
  </si>
  <si>
    <t>D008</t>
  </si>
  <si>
    <t>D009</t>
  </si>
  <si>
    <t>D010</t>
  </si>
  <si>
    <t xml:space="preserve">WeightedValue </t>
  </si>
  <si>
    <t>Sum of DealValue</t>
  </si>
  <si>
    <t xml:space="preserve">Sum of WeightedValue </t>
  </si>
  <si>
    <t>Row Labels</t>
  </si>
  <si>
    <t>Column Labels</t>
  </si>
  <si>
    <t>1. Which Stage holds the highest weighted revenue (not just raw DealValue)?</t>
  </si>
  <si>
    <t>Ans Closed One</t>
  </si>
  <si>
    <t>2. Which SalesRep has the largest expected revenue based on probabilities?</t>
  </si>
  <si>
    <t>Ans: 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</si>
</sst>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[day_6(Excel).xlsx]Sheet1!PivotTable18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Sheet1!$B$22:$B$23</c:f>
              <c:strCache>
                <c:ptCount val="1"/>
                <c:pt idx="0">
                  <c:v>Closed 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2F1-B9F7-A0848446A452}"/>
            </c:ext>
          </c:extLst>
        </c:ser>
        <c:ser>
          <c:idx val="1"/>
          <c:order val="1"/>
          <c:tx>
            <c:strRef>
              <c:f>Sheet1!$C$22:$C$23</c:f>
              <c:strCache>
                <c:ptCount val="1"/>
                <c:pt idx="0">
                  <c:v>Closed Won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Sheet1!$C$24</c:f>
              <c:numCache>
                <c:formatCode>General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98-42F1-B9F7-A0848446A452}"/>
            </c:ext>
          </c:extLst>
        </c:ser>
        <c:ser>
          <c:idx val="2"/>
          <c:order val="2"/>
          <c:tx>
            <c:strRef>
              <c:f>Sheet1!$D$22:$D$23</c:f>
              <c:strCache>
                <c:ptCount val="1"/>
                <c:pt idx="0">
                  <c:v>Negotiation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Sheet1!$D$24</c:f>
              <c:numCache>
                <c:formatCode>General</c:formatCode>
                <c:ptCount val="1"/>
                <c:pt idx="0">
                  <c:v>26200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98-42F1-B9F7-A0848446A452}"/>
            </c:ext>
          </c:extLst>
        </c:ser>
        <c:ser>
          <c:idx val="3"/>
          <c:order val="3"/>
          <c:tx>
            <c:strRef>
              <c:f>Sheet1!$E$22:$E$23</c:f>
              <c:strCache>
                <c:ptCount val="1"/>
                <c:pt idx="0">
                  <c:v>Proposal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Sheet1!$E$24</c:f>
              <c:numCache>
                <c:formatCode>General</c:formatCode>
                <c:ptCount val="1"/>
                <c:pt idx="0">
                  <c:v>20300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98-42F1-B9F7-A0848446A452}"/>
            </c:ext>
          </c:extLst>
        </c:ser>
        <c:ser>
          <c:idx val="4"/>
          <c:order val="4"/>
          <c:tx>
            <c:strRef>
              <c:f>Sheet1!$F$22:$F$23</c:f>
              <c:strCache>
                <c:ptCount val="1"/>
                <c:pt idx="0">
                  <c:v>Prospect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Sheet1!$F$24</c:f>
              <c:numCache>
                <c:formatCode>General</c:formatCode>
                <c:ptCount val="1"/>
                <c:pt idx="0">
                  <c:v>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98-42F1-B9F7-A0848446A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907999"/>
        <c:axId val="1160924799"/>
      </c:barChart>
      <c:catAx>
        <c:axId val="116090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24799"/>
        <c:crosses val="autoZero"/>
        <c:auto val="1"/>
        <c:lblAlgn val="ctr"/>
        <c:lblOffset val="100"/>
        <c:noMultiLvlLbl val="0"/>
      </c:catAx>
      <c:valAx>
        <c:axId val="11609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0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11</xdr:row>
      <xdr:rowOff>121920</xdr:rowOff>
    </xdr:from>
    <xdr:to>
      <xdr:col>10</xdr:col>
      <xdr:colOff>541020</xdr:colOff>
      <xdr:row>23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942B70-6724-F072-4400-9726182E2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sh Adnaan" refreshedDate="46114.567284259261" createdVersion="8" refreshedVersion="8" minRefreshableVersion="3" recordCount="10" xr:uid="{A4D80D97-682D-4064-862E-0C2D22A2B8F3}">
  <cacheSource type="worksheet">
    <worksheetSource ref="A1:H11" sheet="Sheet1"/>
  </cacheSource>
  <cacheFields count="8">
    <cacheField name="DealID" numFmtId="0">
      <sharedItems/>
    </cacheField>
    <cacheField name="SalesRep" numFmtId="0">
      <sharedItems count="5">
        <s v="Asha"/>
        <s v="Rohit"/>
        <s v="Lakshmi"/>
        <s v="Imran"/>
        <s v="Neha"/>
      </sharedItems>
    </cacheField>
    <cacheField name="Stage" numFmtId="0">
      <sharedItems count="5">
        <s v="Prospect"/>
        <s v="Proposal"/>
        <s v="Negotiation"/>
        <s v="Closed Won"/>
        <s v="Closed Lost"/>
      </sharedItems>
    </cacheField>
    <cacheField name="DealValue" numFmtId="0">
      <sharedItems containsSemiMixedTypes="0" containsString="0" containsNumber="1" containsInteger="1" minValue="5000" maxValue="30000"/>
    </cacheField>
    <cacheField name="CloseProbability" numFmtId="0">
      <sharedItems containsSemiMixedTypes="0" containsString="0" containsNumber="1" minValue="0" maxValue="1"/>
    </cacheField>
    <cacheField name="CreatedDate" numFmtId="14">
      <sharedItems containsSemiMixedTypes="0" containsNonDate="0" containsDate="1" containsString="0" minDate="2025-01-25T00:00:00" maxDate="2025-03-09T00:00:00"/>
    </cacheField>
    <cacheField name="ExpectedCloseDate" numFmtId="14">
      <sharedItems containsSemiMixedTypes="0" containsNonDate="0" containsDate="1" containsString="0" minDate="2025-03-05T00:00:00" maxDate="2025-04-26T00:00:00"/>
    </cacheField>
    <cacheField name="WeightedValue " numFmtId="0">
      <sharedItems containsSemiMixedTypes="0" containsString="0" containsNumber="1" minValue="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D001"/>
    <x v="0"/>
    <x v="0"/>
    <n v="8000"/>
    <n v="0.2"/>
    <d v="2025-03-01T00:00:00"/>
    <d v="2025-04-15T00:00:00"/>
    <n v="1600"/>
  </r>
  <r>
    <s v="D002"/>
    <x v="1"/>
    <x v="1"/>
    <n v="15000"/>
    <n v="0.5"/>
    <d v="2025-02-20T00:00:00"/>
    <d v="2025-04-05T00:00:00"/>
    <n v="7500"/>
  </r>
  <r>
    <s v="D003"/>
    <x v="2"/>
    <x v="2"/>
    <n v="22000"/>
    <n v="0.7"/>
    <d v="2025-02-10T00:00:00"/>
    <d v="2025-03-30T00:00:00"/>
    <n v="15399.999999999998"/>
  </r>
  <r>
    <s v="D004"/>
    <x v="3"/>
    <x v="3"/>
    <n v="30000"/>
    <n v="1"/>
    <d v="2025-01-25T00:00:00"/>
    <d v="2025-03-10T00:00:00"/>
    <n v="30000"/>
  </r>
  <r>
    <s v="D005"/>
    <x v="4"/>
    <x v="0"/>
    <n v="5000"/>
    <n v="0.15"/>
    <d v="2025-03-05T00:00:00"/>
    <d v="2025-04-20T00:00:00"/>
    <n v="750"/>
  </r>
  <r>
    <s v="D006"/>
    <x v="0"/>
    <x v="2"/>
    <n v="18000"/>
    <n v="0.6"/>
    <d v="2025-02-28T00:00:00"/>
    <d v="2025-04-01T00:00:00"/>
    <n v="10800"/>
  </r>
  <r>
    <s v="D007"/>
    <x v="1"/>
    <x v="4"/>
    <n v="12000"/>
    <n v="0"/>
    <d v="2025-01-30T00:00:00"/>
    <d v="2025-03-05T00:00:00"/>
    <n v="0"/>
  </r>
  <r>
    <s v="D008"/>
    <x v="2"/>
    <x v="1"/>
    <n v="14000"/>
    <n v="0.4"/>
    <d v="2025-03-02T00:00:00"/>
    <d v="2025-04-25T00:00:00"/>
    <n v="5600"/>
  </r>
  <r>
    <s v="D009"/>
    <x v="3"/>
    <x v="0"/>
    <n v="9000"/>
    <n v="0.25"/>
    <d v="2025-03-08T00:00:00"/>
    <d v="2025-04-18T00:00:00"/>
    <n v="2250"/>
  </r>
  <r>
    <s v="D010"/>
    <x v="4"/>
    <x v="1"/>
    <n v="16000"/>
    <n v="0.45"/>
    <d v="2025-02-25T00:00:00"/>
    <d v="2025-04-10T00:00:00"/>
    <n v="7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6107E-E816-4F7F-8AD0-125D3066095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4:C19" firstHeaderRow="0" firstDataRow="1" firstDataCol="1"/>
  <pivotFields count="8"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dataField="1" showAll="0"/>
    <pivotField showAll="0"/>
    <pivotField numFmtId="14" showAll="0"/>
    <pivotField numFmtId="14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DealValue" fld="3" baseField="0" baseItem="0"/>
    <dataField name="Sum of WeightedValue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57947-C755-4C3A-B14C-00FCAF58C83F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22:F24" firstHeaderRow="1" firstDataRow="2" firstDataCol="1"/>
  <pivotFields count="8"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</pivotFields>
  <rowItems count="1">
    <i/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 of WeightedValue " fld="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20EFB-1FD5-469A-B3CD-DA727A32CF0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14:F19" firstHeaderRow="1" firstDataRow="1" firstDataCol="1"/>
  <pivotFields count="8"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WeightedValue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4DC7C-27E3-4C3D-9401-C444AE9C9869}" name="Table1" displayName="Table1" ref="A1:H11" totalsRowShown="0">
  <autoFilter ref="A1:H11" xr:uid="{4284DC7C-27E3-4C3D-9401-C444AE9C9869}"/>
  <tableColumns count="8">
    <tableColumn id="1" xr3:uid="{B87F45FD-4965-4A9C-A7DF-976523E57CC7}" name="DealID"/>
    <tableColumn id="2" xr3:uid="{E5B5C379-46AB-4826-9461-ECDF213EF802}" name="SalesRep"/>
    <tableColumn id="3" xr3:uid="{B78A2FCF-D895-404C-9C25-C67B1B9AF81D}" name="Stage"/>
    <tableColumn id="4" xr3:uid="{795665DB-654F-4E69-AB83-BE3873A837A0}" name="DealValue"/>
    <tableColumn id="5" xr3:uid="{4A4BEB27-B502-41C2-9210-2BCEF3EEB1C6}" name="CloseProbability"/>
    <tableColumn id="6" xr3:uid="{0B1C3489-5AD9-4F01-AA13-046B04FB09FA}" name="CreatedDate" dataDxfId="1"/>
    <tableColumn id="7" xr3:uid="{56E2F48F-A8D5-4EF1-9474-36D37423F3AA}" name="ExpectedCloseDate" dataDxfId="0"/>
    <tableColumn id="8" xr3:uid="{79877F17-B8A2-40A8-82EA-E5CCB2CBB36E}" name="WeightedValue 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5B56-AC6D-465E-9B15-A8BCE81B1B3A}">
  <dimension ref="A1:J24"/>
  <sheetViews>
    <sheetView tabSelected="1" workbookViewId="0">
      <selection activeCell="D17" sqref="D17"/>
    </sheetView>
  </sheetViews>
  <sheetFormatPr defaultRowHeight="14.4" x14ac:dyDescent="0.3"/>
  <cols>
    <col min="1" max="1" width="20.109375" bestFit="1" customWidth="1"/>
    <col min="2" max="2" width="16" bestFit="1" customWidth="1"/>
    <col min="3" max="3" width="21" bestFit="1" customWidth="1"/>
    <col min="4" max="4" width="11.33203125" customWidth="1"/>
    <col min="5" max="5" width="16.44140625" customWidth="1"/>
    <col min="6" max="6" width="21" bestFit="1" customWidth="1"/>
    <col min="7" max="7" width="18.88671875" customWidth="1"/>
    <col min="8" max="8" width="16.21875" customWidth="1"/>
    <col min="10" max="10" width="20.109375" bestFit="1" customWidth="1"/>
    <col min="11" max="11" width="15.5546875" bestFit="1" customWidth="1"/>
    <col min="12" max="12" width="11" bestFit="1" customWidth="1"/>
    <col min="13" max="13" width="10.88671875" bestFit="1" customWidth="1"/>
    <col min="14" max="15" width="8.33203125" bestFit="1" customWidth="1"/>
    <col min="16" max="16" width="10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</row>
    <row r="2" spans="1:10" x14ac:dyDescent="0.3">
      <c r="A2" t="s">
        <v>7</v>
      </c>
      <c r="B2" t="s">
        <v>8</v>
      </c>
      <c r="C2" t="s">
        <v>9</v>
      </c>
      <c r="D2">
        <v>8000</v>
      </c>
      <c r="E2">
        <v>0.2</v>
      </c>
      <c r="F2" s="1">
        <v>45717</v>
      </c>
      <c r="G2" s="1">
        <v>45762</v>
      </c>
      <c r="H2">
        <f>D2*E2</f>
        <v>1600</v>
      </c>
      <c r="J2" t="s">
        <v>32</v>
      </c>
    </row>
    <row r="3" spans="1:10" x14ac:dyDescent="0.3">
      <c r="A3" t="s">
        <v>10</v>
      </c>
      <c r="B3" t="s">
        <v>11</v>
      </c>
      <c r="C3" t="s">
        <v>12</v>
      </c>
      <c r="D3">
        <v>15000</v>
      </c>
      <c r="E3">
        <v>0.5</v>
      </c>
      <c r="F3" s="1">
        <v>45708</v>
      </c>
      <c r="G3" s="1">
        <v>45752</v>
      </c>
      <c r="H3">
        <f t="shared" ref="H3:H11" si="0">D3*E3</f>
        <v>7500</v>
      </c>
      <c r="J3" s="4" t="s">
        <v>33</v>
      </c>
    </row>
    <row r="4" spans="1:10" x14ac:dyDescent="0.3">
      <c r="A4" t="s">
        <v>13</v>
      </c>
      <c r="B4" t="s">
        <v>14</v>
      </c>
      <c r="C4" t="s">
        <v>15</v>
      </c>
      <c r="D4">
        <v>22000</v>
      </c>
      <c r="E4">
        <v>0.7</v>
      </c>
      <c r="F4" s="1">
        <v>45698</v>
      </c>
      <c r="G4" s="1">
        <v>45746</v>
      </c>
      <c r="H4">
        <f t="shared" si="0"/>
        <v>15399.999999999998</v>
      </c>
    </row>
    <row r="5" spans="1:10" x14ac:dyDescent="0.3">
      <c r="A5" t="s">
        <v>16</v>
      </c>
      <c r="B5" t="s">
        <v>17</v>
      </c>
      <c r="C5" t="s">
        <v>18</v>
      </c>
      <c r="D5">
        <v>30000</v>
      </c>
      <c r="E5">
        <v>1</v>
      </c>
      <c r="F5" s="1">
        <v>45682</v>
      </c>
      <c r="G5" s="1">
        <v>45726</v>
      </c>
      <c r="H5">
        <f t="shared" si="0"/>
        <v>30000</v>
      </c>
      <c r="J5" t="s">
        <v>34</v>
      </c>
    </row>
    <row r="6" spans="1:10" x14ac:dyDescent="0.3">
      <c r="A6" t="s">
        <v>19</v>
      </c>
      <c r="B6" t="s">
        <v>20</v>
      </c>
      <c r="C6" t="s">
        <v>9</v>
      </c>
      <c r="D6">
        <v>5000</v>
      </c>
      <c r="E6">
        <v>0.15</v>
      </c>
      <c r="F6" s="1">
        <v>45721</v>
      </c>
      <c r="G6" s="1">
        <v>45767</v>
      </c>
      <c r="H6">
        <f t="shared" si="0"/>
        <v>750</v>
      </c>
      <c r="J6" s="4" t="s">
        <v>35</v>
      </c>
    </row>
    <row r="7" spans="1:10" x14ac:dyDescent="0.3">
      <c r="A7" t="s">
        <v>21</v>
      </c>
      <c r="B7" t="s">
        <v>8</v>
      </c>
      <c r="C7" t="s">
        <v>15</v>
      </c>
      <c r="D7">
        <v>18000</v>
      </c>
      <c r="E7">
        <v>0.6</v>
      </c>
      <c r="F7" s="1">
        <v>45716</v>
      </c>
      <c r="G7" s="1">
        <v>45748</v>
      </c>
      <c r="H7">
        <f t="shared" si="0"/>
        <v>10800</v>
      </c>
    </row>
    <row r="8" spans="1:10" x14ac:dyDescent="0.3">
      <c r="A8" t="s">
        <v>22</v>
      </c>
      <c r="B8" t="s">
        <v>11</v>
      </c>
      <c r="C8" t="s">
        <v>23</v>
      </c>
      <c r="D8">
        <v>12000</v>
      </c>
      <c r="E8">
        <v>0</v>
      </c>
      <c r="F8" s="1">
        <v>45687</v>
      </c>
      <c r="G8" s="1">
        <v>45721</v>
      </c>
      <c r="H8">
        <f t="shared" si="0"/>
        <v>0</v>
      </c>
    </row>
    <row r="9" spans="1:10" x14ac:dyDescent="0.3">
      <c r="A9" t="s">
        <v>24</v>
      </c>
      <c r="B9" t="s">
        <v>14</v>
      </c>
      <c r="C9" t="s">
        <v>12</v>
      </c>
      <c r="D9">
        <v>14000</v>
      </c>
      <c r="E9">
        <v>0.4</v>
      </c>
      <c r="F9" s="1">
        <v>45718</v>
      </c>
      <c r="G9" s="1">
        <v>45772</v>
      </c>
      <c r="H9">
        <f t="shared" si="0"/>
        <v>5600</v>
      </c>
    </row>
    <row r="10" spans="1:10" x14ac:dyDescent="0.3">
      <c r="A10" t="s">
        <v>25</v>
      </c>
      <c r="B10" t="s">
        <v>17</v>
      </c>
      <c r="C10" t="s">
        <v>9</v>
      </c>
      <c r="D10">
        <v>9000</v>
      </c>
      <c r="E10">
        <v>0.25</v>
      </c>
      <c r="F10" s="1">
        <v>45724</v>
      </c>
      <c r="G10" s="1">
        <v>45765</v>
      </c>
      <c r="H10">
        <f t="shared" si="0"/>
        <v>2250</v>
      </c>
    </row>
    <row r="11" spans="1:10" x14ac:dyDescent="0.3">
      <c r="A11" t="s">
        <v>26</v>
      </c>
      <c r="B11" t="s">
        <v>20</v>
      </c>
      <c r="C11" t="s">
        <v>12</v>
      </c>
      <c r="D11">
        <v>16000</v>
      </c>
      <c r="E11">
        <v>0.45</v>
      </c>
      <c r="F11" s="1">
        <v>45713</v>
      </c>
      <c r="G11" s="1">
        <v>45757</v>
      </c>
      <c r="H11">
        <f t="shared" si="0"/>
        <v>7200</v>
      </c>
    </row>
    <row r="14" spans="1:10" x14ac:dyDescent="0.3">
      <c r="A14" s="2" t="s">
        <v>30</v>
      </c>
      <c r="B14" t="s">
        <v>28</v>
      </c>
      <c r="C14" t="s">
        <v>29</v>
      </c>
      <c r="E14" s="2" t="s">
        <v>30</v>
      </c>
      <c r="F14" t="s">
        <v>29</v>
      </c>
    </row>
    <row r="15" spans="1:10" x14ac:dyDescent="0.3">
      <c r="A15" s="3" t="s">
        <v>23</v>
      </c>
      <c r="B15">
        <v>12000</v>
      </c>
      <c r="C15">
        <v>0</v>
      </c>
      <c r="E15" s="3" t="s">
        <v>8</v>
      </c>
      <c r="F15">
        <v>12400</v>
      </c>
    </row>
    <row r="16" spans="1:10" x14ac:dyDescent="0.3">
      <c r="A16" s="3" t="s">
        <v>18</v>
      </c>
      <c r="B16">
        <v>30000</v>
      </c>
      <c r="C16">
        <v>30000</v>
      </c>
      <c r="E16" s="3" t="s">
        <v>17</v>
      </c>
      <c r="F16">
        <v>32250</v>
      </c>
    </row>
    <row r="17" spans="1:6" x14ac:dyDescent="0.3">
      <c r="A17" s="3" t="s">
        <v>15</v>
      </c>
      <c r="B17">
        <v>40000</v>
      </c>
      <c r="C17">
        <v>26200</v>
      </c>
      <c r="E17" s="3" t="s">
        <v>14</v>
      </c>
      <c r="F17">
        <v>21000</v>
      </c>
    </row>
    <row r="18" spans="1:6" x14ac:dyDescent="0.3">
      <c r="A18" s="3" t="s">
        <v>12</v>
      </c>
      <c r="B18">
        <v>45000</v>
      </c>
      <c r="C18">
        <v>20300</v>
      </c>
      <c r="E18" s="3" t="s">
        <v>20</v>
      </c>
      <c r="F18">
        <v>7950</v>
      </c>
    </row>
    <row r="19" spans="1:6" x14ac:dyDescent="0.3">
      <c r="A19" s="3" t="s">
        <v>9</v>
      </c>
      <c r="B19">
        <v>22000</v>
      </c>
      <c r="C19">
        <v>4600</v>
      </c>
      <c r="E19" s="3" t="s">
        <v>11</v>
      </c>
      <c r="F19">
        <v>7500</v>
      </c>
    </row>
    <row r="22" spans="1:6" x14ac:dyDescent="0.3">
      <c r="B22" s="2" t="s">
        <v>31</v>
      </c>
    </row>
    <row r="23" spans="1:6" x14ac:dyDescent="0.3">
      <c r="B23" t="s">
        <v>23</v>
      </c>
      <c r="C23" t="s">
        <v>18</v>
      </c>
      <c r="D23" t="s">
        <v>15</v>
      </c>
      <c r="E23" t="s">
        <v>12</v>
      </c>
      <c r="F23" t="s">
        <v>9</v>
      </c>
    </row>
    <row r="24" spans="1:6" x14ac:dyDescent="0.3">
      <c r="A24" t="s">
        <v>29</v>
      </c>
      <c r="B24">
        <v>0</v>
      </c>
      <c r="C24">
        <v>30000</v>
      </c>
      <c r="D24">
        <v>26200</v>
      </c>
      <c r="E24">
        <v>20300</v>
      </c>
      <c r="F24">
        <v>4600</v>
      </c>
    </row>
  </sheetData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Adnaan</dc:creator>
  <cp:lastModifiedBy>Danish Adnaan</cp:lastModifiedBy>
  <dcterms:created xsi:type="dcterms:W3CDTF">2026-04-02T08:04:22Z</dcterms:created>
  <dcterms:modified xsi:type="dcterms:W3CDTF">2026-04-02T15:24:34Z</dcterms:modified>
</cp:coreProperties>
</file>