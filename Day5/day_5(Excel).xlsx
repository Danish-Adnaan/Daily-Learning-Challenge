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nis\OneDrive\Desktop\Learning_Challenge\PowerBI_or_Excel\"/>
    </mc:Choice>
  </mc:AlternateContent>
  <xr:revisionPtr revIDLastSave="0" documentId="8_{3D6811EA-B017-4883-AFAF-96BFB62BFEED}" xr6:coauthVersionLast="47" xr6:coauthVersionMax="47" xr10:uidLastSave="{00000000-0000-0000-0000-000000000000}"/>
  <bookViews>
    <workbookView xWindow="-108" yWindow="-108" windowWidth="23256" windowHeight="12456" activeTab="1" xr2:uid="{395C6642-07B3-45F5-ABCD-B797D7A98FC1}"/>
  </bookViews>
  <sheets>
    <sheet name="Sheet2" sheetId="2" r:id="rId1"/>
    <sheet name="Sheet1" sheetId="1" r:id="rId2"/>
  </sheets>
  <calcPr calcId="191029"/>
  <pivotCaches>
    <pivotCache cacheId="7" r:id="rId3"/>
    <pivotCache cacheId="2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2" i="1" a="1"/>
  <c r="I2" i="1"/>
  <c r="H3" i="1"/>
  <c r="H4" i="1"/>
  <c r="H5" i="1"/>
  <c r="H6" i="1"/>
  <c r="H7" i="1"/>
  <c r="H8" i="1"/>
  <c r="H9" i="1"/>
  <c r="H10" i="1"/>
  <c r="H11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<sst xmlns="http://schemas.openxmlformats.org/spreadsheetml/2006/main" count="77" uniqueCount="48">
  <si>
    <t>EmpID</t>
  </si>
  <si>
    <t>EmpName</t>
  </si>
  <si>
    <t>Gender</t>
  </si>
  <si>
    <t>Department</t>
  </si>
  <si>
    <t>JobLevel</t>
  </si>
  <si>
    <t>BaseSalary</t>
  </si>
  <si>
    <t>BonusPct</t>
  </si>
  <si>
    <t>E001</t>
  </si>
  <si>
    <t>Arjun</t>
  </si>
  <si>
    <t>M</t>
  </si>
  <si>
    <t>Sales</t>
  </si>
  <si>
    <t>E002</t>
  </si>
  <si>
    <t>Meera</t>
  </si>
  <si>
    <t>F</t>
  </si>
  <si>
    <t>E003</t>
  </si>
  <si>
    <t>Ravi</t>
  </si>
  <si>
    <t>Marketing</t>
  </si>
  <si>
    <t>E004</t>
  </si>
  <si>
    <t>Anita</t>
  </si>
  <si>
    <t>E005</t>
  </si>
  <si>
    <t>Kiran</t>
  </si>
  <si>
    <t>HR</t>
  </si>
  <si>
    <t>E006</t>
  </si>
  <si>
    <t>Shreya</t>
  </si>
  <si>
    <t>E007</t>
  </si>
  <si>
    <t>Vikram</t>
  </si>
  <si>
    <t>Tech</t>
  </si>
  <si>
    <t>E008</t>
  </si>
  <si>
    <t>Pooja</t>
  </si>
  <si>
    <t>E009</t>
  </si>
  <si>
    <t>Imran</t>
  </si>
  <si>
    <t>E010</t>
  </si>
  <si>
    <t>Lakshmi</t>
  </si>
  <si>
    <t>TotalCompensation</t>
  </si>
  <si>
    <t>SalaryBand</t>
  </si>
  <si>
    <t>Row Labels</t>
  </si>
  <si>
    <t>Grand Total</t>
  </si>
  <si>
    <t>Average of TotalCompensation</t>
  </si>
  <si>
    <t>Column Labels</t>
  </si>
  <si>
    <t>Low</t>
  </si>
  <si>
    <t>Medium</t>
  </si>
  <si>
    <t>High</t>
  </si>
  <si>
    <t>Count of EmpID</t>
  </si>
  <si>
    <t>Average of Compensation</t>
  </si>
  <si>
    <t>1. In which Department–Gender combination is the average TotalCompensation highest?</t>
  </si>
  <si>
    <t>Ans. Marketing</t>
  </si>
  <si>
    <t>2. Which SalaryBand has the most employees?</t>
  </si>
  <si>
    <t>Ans.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</si>
</sst>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[day_5(Excel).xlsx]Sheet2!PivotTable17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TotalCompensation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4"/>
                <c:pt idx="0">
                  <c:v>HR</c:v>
                </c:pt>
                <c:pt idx="1">
                  <c:v>Marketing</c:v>
                </c:pt>
                <c:pt idx="2">
                  <c:v>Sales</c:v>
                </c:pt>
                <c:pt idx="3">
                  <c:v>Tech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4"/>
                <c:pt idx="0">
                  <c:v>40280</c:v>
                </c:pt>
                <c:pt idx="1">
                  <c:v>61600.000000000007</c:v>
                </c:pt>
                <c:pt idx="2">
                  <c:v>54660</c:v>
                </c:pt>
                <c:pt idx="3">
                  <c:v>51840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B-4BA1-A007-E4B622E8D56B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4"/>
                <c:pt idx="0">
                  <c:v>HR</c:v>
                </c:pt>
                <c:pt idx="1">
                  <c:v>Marketing</c:v>
                </c:pt>
                <c:pt idx="2">
                  <c:v>Sales</c:v>
                </c:pt>
                <c:pt idx="3">
                  <c:v>Tech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4"/>
                <c:pt idx="0">
                  <c:v>31200</c:v>
                </c:pt>
                <c:pt idx="1">
                  <c:v>47700</c:v>
                </c:pt>
                <c:pt idx="2">
                  <c:v>33600</c:v>
                </c:pt>
                <c:pt idx="3">
                  <c:v>51975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CB-4BA1-A007-E4B622E8D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3130655"/>
        <c:axId val="873130175"/>
      </c:barChart>
      <c:catAx>
        <c:axId val="87313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130175"/>
        <c:crosses val="autoZero"/>
        <c:auto val="1"/>
        <c:lblAlgn val="ctr"/>
        <c:lblOffset val="100"/>
        <c:noMultiLvlLbl val="0"/>
      </c:catAx>
      <c:valAx>
        <c:axId val="87313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13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[day_5(Excel).xlsx]Sheet2!PivotTable17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806398175637885"/>
          <c:y val="0.17887709688462855"/>
          <c:w val="0.64665596359881239"/>
          <c:h val="0.618233318661254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4"/>
                <c:pt idx="0">
                  <c:v>HR</c:v>
                </c:pt>
                <c:pt idx="1">
                  <c:v>Marketing</c:v>
                </c:pt>
                <c:pt idx="2">
                  <c:v>Sales</c:v>
                </c:pt>
                <c:pt idx="3">
                  <c:v>Tech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4"/>
                <c:pt idx="0">
                  <c:v>40280</c:v>
                </c:pt>
                <c:pt idx="1">
                  <c:v>61600.000000000007</c:v>
                </c:pt>
                <c:pt idx="2">
                  <c:v>54660</c:v>
                </c:pt>
                <c:pt idx="3">
                  <c:v>51840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2-4933-BA66-4150582106AE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4"/>
                <c:pt idx="0">
                  <c:v>HR</c:v>
                </c:pt>
                <c:pt idx="1">
                  <c:v>Marketing</c:v>
                </c:pt>
                <c:pt idx="2">
                  <c:v>Sales</c:v>
                </c:pt>
                <c:pt idx="3">
                  <c:v>Tech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4"/>
                <c:pt idx="0">
                  <c:v>31200</c:v>
                </c:pt>
                <c:pt idx="1">
                  <c:v>47700</c:v>
                </c:pt>
                <c:pt idx="2">
                  <c:v>33600</c:v>
                </c:pt>
                <c:pt idx="3">
                  <c:v>51975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B2-4933-BA66-415058210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873130655"/>
        <c:axId val="873130175"/>
      </c:barChart>
      <c:catAx>
        <c:axId val="87313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130175"/>
        <c:crosses val="autoZero"/>
        <c:auto val="1"/>
        <c:lblAlgn val="ctr"/>
        <c:lblOffset val="100"/>
        <c:noMultiLvlLbl val="0"/>
      </c:catAx>
      <c:valAx>
        <c:axId val="87313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13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6</xdr:row>
      <xdr:rowOff>41910</xdr:rowOff>
    </xdr:from>
    <xdr:to>
      <xdr:col>13</xdr:col>
      <xdr:colOff>91440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CA3BD5-9A5D-66C9-A22D-32B6DA0FF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11</xdr:row>
      <xdr:rowOff>45720</xdr:rowOff>
    </xdr:from>
    <xdr:to>
      <xdr:col>14</xdr:col>
      <xdr:colOff>312420</xdr:colOff>
      <xdr:row>24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71CDF0-7253-4F7B-B887-89FDD18B4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sh Adnaan" refreshedDate="46113.630267361114" createdVersion="8" refreshedVersion="8" minRefreshableVersion="3" recordCount="10" xr:uid="{475556CB-E209-40DD-BD57-CB871CDEDED5}">
  <cacheSource type="worksheet">
    <worksheetSource ref="A1:I11" sheet="Sheet1"/>
  </cacheSource>
  <cacheFields count="9">
    <cacheField name="EmpID" numFmtId="0">
      <sharedItems count="10">
        <s v="E001"/>
        <s v="E002"/>
        <s v="E003"/>
        <s v="E004"/>
        <s v="E005"/>
        <s v="E006"/>
        <s v="E007"/>
        <s v="E008"/>
        <s v="E009"/>
        <s v="E010"/>
      </sharedItems>
    </cacheField>
    <cacheField name="EmpName" numFmtId="0">
      <sharedItems/>
    </cacheField>
    <cacheField name="Gender" numFmtId="0">
      <sharedItems count="2">
        <s v="M"/>
        <s v="F"/>
      </sharedItems>
    </cacheField>
    <cacheField name="Department" numFmtId="0">
      <sharedItems count="4">
        <s v="Sales"/>
        <s v="Marketing"/>
        <s v="HR"/>
        <s v="Tech"/>
      </sharedItems>
    </cacheField>
    <cacheField name="JobLevel" numFmtId="0">
      <sharedItems containsSemiMixedTypes="0" containsString="0" containsNumber="1" containsInteger="1" minValue="1" maxValue="3"/>
    </cacheField>
    <cacheField name="BaseSalary" numFmtId="0">
      <sharedItems containsSemiMixedTypes="0" containsString="0" containsNumber="1" containsInteger="1" minValue="30000" maxValue="60000"/>
    </cacheField>
    <cacheField name="BonusPct" numFmtId="0">
      <sharedItems containsSemiMixedTypes="0" containsString="0" containsNumber="1" minValue="0.04" maxValue="0.12"/>
    </cacheField>
    <cacheField name="TotalCompensation" numFmtId="0">
      <sharedItems containsSemiMixedTypes="0" containsString="0" containsNumber="1" minValue="31200" maxValue="67200"/>
    </cacheField>
    <cacheField name="SalaryBand" numFmtId="0">
      <sharedItems count="3">
        <s v="Low"/>
        <s v="Medium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sh Adnaan" refreshedDate="46113.633745717591" createdVersion="8" refreshedVersion="8" minRefreshableVersion="3" recordCount="10" xr:uid="{632CC42C-5444-4D7A-AA2B-17533B1E57DD}">
  <cacheSource type="worksheet">
    <worksheetSource ref="A1:I11" sheet="Sheet1"/>
  </cacheSource>
  <cacheFields count="9">
    <cacheField name="EmpID" numFmtId="0">
      <sharedItems/>
    </cacheField>
    <cacheField name="EmpName" numFmtId="0">
      <sharedItems/>
    </cacheField>
    <cacheField name="Gender" numFmtId="0">
      <sharedItems count="2">
        <s v="M"/>
        <s v="F"/>
      </sharedItems>
    </cacheField>
    <cacheField name="Department" numFmtId="0">
      <sharedItems count="4">
        <s v="Sales"/>
        <s v="Marketing"/>
        <s v="HR"/>
        <s v="Tech"/>
      </sharedItems>
    </cacheField>
    <cacheField name="JobLevel" numFmtId="0">
      <sharedItems containsSemiMixedTypes="0" containsString="0" containsNumber="1" containsInteger="1" minValue="1" maxValue="3"/>
    </cacheField>
    <cacheField name="BaseSalary" numFmtId="0">
      <sharedItems containsSemiMixedTypes="0" containsString="0" containsNumber="1" containsInteger="1" minValue="30000" maxValue="60000"/>
    </cacheField>
    <cacheField name="BonusPct" numFmtId="0">
      <sharedItems containsSemiMixedTypes="0" containsString="0" containsNumber="1" minValue="0.04" maxValue="0.12"/>
    </cacheField>
    <cacheField name="TotalCompensation" numFmtId="0">
      <sharedItems containsSemiMixedTypes="0" containsString="0" containsNumber="1" minValue="31200" maxValue="67200"/>
    </cacheField>
    <cacheField name="SalaryBa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Arjun"/>
    <x v="0"/>
    <x v="0"/>
    <n v="1"/>
    <n v="32000"/>
    <n v="0.05"/>
    <n v="33600"/>
    <x v="0"/>
  </r>
  <r>
    <x v="1"/>
    <s v="Meera"/>
    <x v="1"/>
    <x v="0"/>
    <n v="2"/>
    <n v="42000"/>
    <n v="7.0000000000000007E-2"/>
    <n v="44940"/>
    <x v="1"/>
  </r>
  <r>
    <x v="2"/>
    <s v="Ravi"/>
    <x v="0"/>
    <x v="1"/>
    <n v="2"/>
    <n v="45000"/>
    <n v="0.06"/>
    <n v="47700"/>
    <x v="1"/>
  </r>
  <r>
    <x v="3"/>
    <s v="Anita"/>
    <x v="1"/>
    <x v="1"/>
    <n v="3"/>
    <n v="56000"/>
    <n v="0.1"/>
    <n v="61600.000000000007"/>
    <x v="2"/>
  </r>
  <r>
    <x v="4"/>
    <s v="Kiran"/>
    <x v="0"/>
    <x v="2"/>
    <n v="1"/>
    <n v="30000"/>
    <n v="0.04"/>
    <n v="31200"/>
    <x v="0"/>
  </r>
  <r>
    <x v="5"/>
    <s v="Shreya"/>
    <x v="1"/>
    <x v="2"/>
    <n v="2"/>
    <n v="38000"/>
    <n v="0.06"/>
    <n v="40280"/>
    <x v="0"/>
  </r>
  <r>
    <x v="6"/>
    <s v="Vikram"/>
    <x v="0"/>
    <x v="3"/>
    <n v="3"/>
    <n v="60000"/>
    <n v="0.12"/>
    <n v="67200"/>
    <x v="2"/>
  </r>
  <r>
    <x v="7"/>
    <s v="Pooja"/>
    <x v="1"/>
    <x v="3"/>
    <n v="2"/>
    <n v="48000"/>
    <n v="0.08"/>
    <n v="51840"/>
    <x v="1"/>
  </r>
  <r>
    <x v="8"/>
    <s v="Imran"/>
    <x v="0"/>
    <x v="3"/>
    <n v="1"/>
    <n v="35000"/>
    <n v="0.05"/>
    <n v="36750"/>
    <x v="0"/>
  </r>
  <r>
    <x v="9"/>
    <s v="Lakshmi"/>
    <x v="1"/>
    <x v="0"/>
    <n v="3"/>
    <n v="58000"/>
    <n v="0.11"/>
    <n v="64380.000000000007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E001"/>
    <s v="Arjun"/>
    <x v="0"/>
    <x v="0"/>
    <n v="1"/>
    <n v="32000"/>
    <n v="0.05"/>
    <n v="33600"/>
    <s v="Low"/>
  </r>
  <r>
    <s v="E002"/>
    <s v="Meera"/>
    <x v="1"/>
    <x v="0"/>
    <n v="2"/>
    <n v="42000"/>
    <n v="7.0000000000000007E-2"/>
    <n v="44940"/>
    <s v="Medium"/>
  </r>
  <r>
    <s v="E003"/>
    <s v="Ravi"/>
    <x v="0"/>
    <x v="1"/>
    <n v="2"/>
    <n v="45000"/>
    <n v="0.06"/>
    <n v="47700"/>
    <s v="Medium"/>
  </r>
  <r>
    <s v="E004"/>
    <s v="Anita"/>
    <x v="1"/>
    <x v="1"/>
    <n v="3"/>
    <n v="56000"/>
    <n v="0.1"/>
    <n v="61600.000000000007"/>
    <s v="High"/>
  </r>
  <r>
    <s v="E005"/>
    <s v="Kiran"/>
    <x v="0"/>
    <x v="2"/>
    <n v="1"/>
    <n v="30000"/>
    <n v="0.04"/>
    <n v="31200"/>
    <s v="Low"/>
  </r>
  <r>
    <s v="E006"/>
    <s v="Shreya"/>
    <x v="1"/>
    <x v="2"/>
    <n v="2"/>
    <n v="38000"/>
    <n v="0.06"/>
    <n v="40280"/>
    <s v="Low"/>
  </r>
  <r>
    <s v="E007"/>
    <s v="Vikram"/>
    <x v="0"/>
    <x v="3"/>
    <n v="3"/>
    <n v="60000"/>
    <n v="0.12"/>
    <n v="67200"/>
    <s v="High"/>
  </r>
  <r>
    <s v="E008"/>
    <s v="Pooja"/>
    <x v="1"/>
    <x v="3"/>
    <n v="2"/>
    <n v="48000"/>
    <n v="0.08"/>
    <n v="51840"/>
    <s v="Medium"/>
  </r>
  <r>
    <s v="E009"/>
    <s v="Imran"/>
    <x v="0"/>
    <x v="3"/>
    <n v="1"/>
    <n v="35000"/>
    <n v="0.05"/>
    <n v="36750"/>
    <s v="Low"/>
  </r>
  <r>
    <s v="E010"/>
    <s v="Lakshmi"/>
    <x v="1"/>
    <x v="0"/>
    <n v="3"/>
    <n v="58000"/>
    <n v="0.11"/>
    <n v="64380.000000000007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1F1E7-B458-4D45-9983-102CFCE32946}" name="PivotTable17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4">
  <location ref="A3:C8" firstHeaderRow="1" firstDataRow="2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1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4">
    <i>
      <x/>
    </i>
    <i>
      <x v="1"/>
    </i>
    <i>
      <x v="2"/>
    </i>
    <i>
      <x v="3"/>
    </i>
  </rowItems>
  <colFields count="1">
    <field x="2"/>
  </colFields>
  <colItems count="2">
    <i>
      <x/>
    </i>
    <i>
      <x v="1"/>
    </i>
  </colItems>
  <dataFields count="1">
    <dataField name="Average of Compensation" fld="7" subtotal="average" baseField="2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79ED8-5BA2-4AF5-B561-B3C76F9074F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3:G17" firstHeaderRow="1" firstDataRow="1" firstDataCol="1"/>
  <pivotFields count="9">
    <pivotField dataField="1" showAll="0" includeNewItemsInFilter="1" countASubtotal="1">
      <items count="11">
        <item x="0"/>
        <item x="1"/>
        <item x="2"/>
        <item x="3"/>
        <item x="4"/>
        <item x="5"/>
        <item x="6"/>
        <item x="7"/>
        <item x="8"/>
        <item x="9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0A436-822B-431C-AA0B-08DC45C53DE3}" name="PivotTable1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3:C18" firstHeaderRow="1" firstDataRow="2" firstDataCol="1"/>
  <pivotFields count="9"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>
      <x v="3"/>
    </i>
  </rowItems>
  <colFields count="1">
    <field x="2"/>
  </colFields>
  <colItems count="2">
    <i>
      <x/>
    </i>
    <i>
      <x v="1"/>
    </i>
  </colItems>
  <dataFields count="1">
    <dataField name="Average of TotalCompensation" fld="7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5E76-B660-4EAD-BCA3-C62C4AD0B26F}">
  <dimension ref="A3:C8"/>
  <sheetViews>
    <sheetView workbookViewId="0">
      <selection activeCell="A3" sqref="A3"/>
    </sheetView>
  </sheetViews>
  <sheetFormatPr defaultRowHeight="14.4" x14ac:dyDescent="0.3"/>
  <cols>
    <col min="1" max="1" width="23.109375" bestFit="1" customWidth="1"/>
    <col min="2" max="2" width="9.33203125" bestFit="1" customWidth="1"/>
    <col min="3" max="3" width="6" bestFit="1" customWidth="1"/>
  </cols>
  <sheetData>
    <row r="3" spans="1:3" x14ac:dyDescent="0.3">
      <c r="A3" s="2" t="s">
        <v>43</v>
      </c>
      <c r="B3" s="2" t="s">
        <v>2</v>
      </c>
    </row>
    <row r="4" spans="1:3" x14ac:dyDescent="0.3">
      <c r="A4" s="2" t="s">
        <v>3</v>
      </c>
      <c r="B4" t="s">
        <v>13</v>
      </c>
      <c r="C4" t="s">
        <v>9</v>
      </c>
    </row>
    <row r="5" spans="1:3" x14ac:dyDescent="0.3">
      <c r="A5" t="s">
        <v>21</v>
      </c>
      <c r="B5" s="1">
        <v>40280</v>
      </c>
      <c r="C5" s="1">
        <v>31200</v>
      </c>
    </row>
    <row r="6" spans="1:3" x14ac:dyDescent="0.3">
      <c r="A6" t="s">
        <v>16</v>
      </c>
      <c r="B6" s="1">
        <v>61600.000000000007</v>
      </c>
      <c r="C6" s="1">
        <v>47700</v>
      </c>
    </row>
    <row r="7" spans="1:3" x14ac:dyDescent="0.3">
      <c r="A7" t="s">
        <v>10</v>
      </c>
      <c r="B7" s="1">
        <v>54660</v>
      </c>
      <c r="C7" s="1">
        <v>33600</v>
      </c>
    </row>
    <row r="8" spans="1:3" x14ac:dyDescent="0.3">
      <c r="A8" t="s">
        <v>26</v>
      </c>
      <c r="B8" s="1">
        <v>51840</v>
      </c>
      <c r="C8" s="1">
        <v>51975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7AF9-83EC-4DFC-B856-0A0A5FC7A56F}">
  <dimension ref="A1:I24"/>
  <sheetViews>
    <sheetView tabSelected="1" workbookViewId="0">
      <selection activeCell="K9" sqref="K9"/>
    </sheetView>
  </sheetViews>
  <sheetFormatPr defaultRowHeight="14.4" x14ac:dyDescent="0.3"/>
  <cols>
    <col min="1" max="1" width="27.44140625" bestFit="1" customWidth="1"/>
    <col min="2" max="2" width="15.5546875" bestFit="1" customWidth="1"/>
    <col min="3" max="3" width="6" bestFit="1" customWidth="1"/>
    <col min="4" max="4" width="10.77734375" bestFit="1" customWidth="1"/>
    <col min="6" max="6" width="12.5546875" bestFit="1" customWidth="1"/>
    <col min="7" max="7" width="14.44140625" bestFit="1" customWidth="1"/>
    <col min="8" max="8" width="17.21875" bestFit="1" customWidth="1"/>
    <col min="9" max="9" width="4.44140625" bestFit="1" customWidth="1"/>
    <col min="10" max="10" width="10.77734375" bestFit="1" customWidth="1"/>
    <col min="11" max="16" width="5" bestFit="1" customWidth="1"/>
    <col min="17" max="17" width="10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  <c r="I1" t="s">
        <v>34</v>
      </c>
    </row>
    <row r="2" spans="1:9" x14ac:dyDescent="0.3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32000</v>
      </c>
      <c r="G2">
        <v>0.05</v>
      </c>
      <c r="H2">
        <f>F2 * (1+G2)</f>
        <v>33600</v>
      </c>
      <c r="I2" t="str" cm="1">
        <f t="array" ref="I2">_xlfn.IFS(F2&lt;40000,"Low",AND(F2&gt;40000,F2&lt;50000),"Medium",F2&gt;=50000,"High")</f>
        <v>Low</v>
      </c>
    </row>
    <row r="3" spans="1:9" x14ac:dyDescent="0.3">
      <c r="A3" t="s">
        <v>11</v>
      </c>
      <c r="B3" t="s">
        <v>12</v>
      </c>
      <c r="C3" t="s">
        <v>13</v>
      </c>
      <c r="D3" t="s">
        <v>10</v>
      </c>
      <c r="E3">
        <v>2</v>
      </c>
      <c r="F3">
        <v>42000</v>
      </c>
      <c r="G3">
        <v>7.0000000000000007E-2</v>
      </c>
      <c r="H3">
        <f t="shared" ref="H3:H11" si="0">F3 * (1+G3)</f>
        <v>44940</v>
      </c>
      <c r="I3" t="str" cm="1">
        <f t="array" ref="I3">_xlfn.IFS(F3&lt;40000,"Low",AND(F3&gt;40000,F3&lt;50000),"Medium",F3&gt;=50000,"High")</f>
        <v>Medium</v>
      </c>
    </row>
    <row r="4" spans="1:9" x14ac:dyDescent="0.3">
      <c r="A4" t="s">
        <v>14</v>
      </c>
      <c r="B4" t="s">
        <v>15</v>
      </c>
      <c r="C4" t="s">
        <v>9</v>
      </c>
      <c r="D4" t="s">
        <v>16</v>
      </c>
      <c r="E4">
        <v>2</v>
      </c>
      <c r="F4">
        <v>45000</v>
      </c>
      <c r="G4">
        <v>0.06</v>
      </c>
      <c r="H4">
        <f t="shared" si="0"/>
        <v>47700</v>
      </c>
      <c r="I4" t="str" cm="1">
        <f t="array" ref="I4">_xlfn.IFS(F4&lt;40000,"Low",AND(F4&gt;40000,F4&lt;50000),"Medium",F4&gt;=50000,"High")</f>
        <v>Medium</v>
      </c>
    </row>
    <row r="5" spans="1:9" x14ac:dyDescent="0.3">
      <c r="A5" t="s">
        <v>17</v>
      </c>
      <c r="B5" t="s">
        <v>18</v>
      </c>
      <c r="C5" t="s">
        <v>13</v>
      </c>
      <c r="D5" t="s">
        <v>16</v>
      </c>
      <c r="E5">
        <v>3</v>
      </c>
      <c r="F5">
        <v>56000</v>
      </c>
      <c r="G5">
        <v>0.1</v>
      </c>
      <c r="H5">
        <f t="shared" si="0"/>
        <v>61600.000000000007</v>
      </c>
      <c r="I5" t="str" cm="1">
        <f t="array" ref="I5">_xlfn.IFS(F5&lt;40000,"Low",AND(F5&gt;40000,F5&lt;50000),"Medium",F5&gt;=50000,"High")</f>
        <v>High</v>
      </c>
    </row>
    <row r="6" spans="1:9" x14ac:dyDescent="0.3">
      <c r="A6" t="s">
        <v>19</v>
      </c>
      <c r="B6" t="s">
        <v>20</v>
      </c>
      <c r="C6" t="s">
        <v>9</v>
      </c>
      <c r="D6" t="s">
        <v>21</v>
      </c>
      <c r="E6">
        <v>1</v>
      </c>
      <c r="F6">
        <v>30000</v>
      </c>
      <c r="G6">
        <v>0.04</v>
      </c>
      <c r="H6">
        <f t="shared" si="0"/>
        <v>31200</v>
      </c>
      <c r="I6" t="str" cm="1">
        <f t="array" ref="I6">_xlfn.IFS(F6&lt;40000,"Low",AND(F6&gt;40000,F6&lt;50000),"Medium",F6&gt;=50000,"High")</f>
        <v>Low</v>
      </c>
    </row>
    <row r="7" spans="1:9" x14ac:dyDescent="0.3">
      <c r="A7" t="s">
        <v>22</v>
      </c>
      <c r="B7" t="s">
        <v>23</v>
      </c>
      <c r="C7" t="s">
        <v>13</v>
      </c>
      <c r="D7" t="s">
        <v>21</v>
      </c>
      <c r="E7">
        <v>2</v>
      </c>
      <c r="F7">
        <v>38000</v>
      </c>
      <c r="G7">
        <v>0.06</v>
      </c>
      <c r="H7">
        <f t="shared" si="0"/>
        <v>40280</v>
      </c>
      <c r="I7" t="str" cm="1">
        <f t="array" ref="I7">_xlfn.IFS(F7&lt;40000,"Low",AND(F7&gt;40000,F7&lt;50000),"Medium",F7&gt;=50000,"High")</f>
        <v>Low</v>
      </c>
    </row>
    <row r="8" spans="1:9" x14ac:dyDescent="0.3">
      <c r="A8" t="s">
        <v>24</v>
      </c>
      <c r="B8" t="s">
        <v>25</v>
      </c>
      <c r="C8" t="s">
        <v>9</v>
      </c>
      <c r="D8" t="s">
        <v>26</v>
      </c>
      <c r="E8">
        <v>3</v>
      </c>
      <c r="F8">
        <v>60000</v>
      </c>
      <c r="G8">
        <v>0.12</v>
      </c>
      <c r="H8">
        <f t="shared" si="0"/>
        <v>67200</v>
      </c>
      <c r="I8" t="str" cm="1">
        <f t="array" ref="I8">_xlfn.IFS(F8&lt;40000,"Low",AND(F8&gt;40000,F8&lt;50000),"Medium",F8&gt;=50000,"High")</f>
        <v>High</v>
      </c>
    </row>
    <row r="9" spans="1:9" x14ac:dyDescent="0.3">
      <c r="A9" t="s">
        <v>27</v>
      </c>
      <c r="B9" t="s">
        <v>28</v>
      </c>
      <c r="C9" t="s">
        <v>13</v>
      </c>
      <c r="D9" t="s">
        <v>26</v>
      </c>
      <c r="E9">
        <v>2</v>
      </c>
      <c r="F9">
        <v>48000</v>
      </c>
      <c r="G9">
        <v>0.08</v>
      </c>
      <c r="H9">
        <f t="shared" si="0"/>
        <v>51840</v>
      </c>
      <c r="I9" t="str" cm="1">
        <f t="array" ref="I9">_xlfn.IFS(F9&lt;40000,"Low",AND(F9&gt;40000,F9&lt;50000),"Medium",F9&gt;=50000,"High")</f>
        <v>Medium</v>
      </c>
    </row>
    <row r="10" spans="1:9" x14ac:dyDescent="0.3">
      <c r="A10" t="s">
        <v>29</v>
      </c>
      <c r="B10" t="s">
        <v>30</v>
      </c>
      <c r="C10" t="s">
        <v>9</v>
      </c>
      <c r="D10" t="s">
        <v>26</v>
      </c>
      <c r="E10">
        <v>1</v>
      </c>
      <c r="F10">
        <v>35000</v>
      </c>
      <c r="G10">
        <v>0.05</v>
      </c>
      <c r="H10">
        <f t="shared" si="0"/>
        <v>36750</v>
      </c>
      <c r="I10" t="str" cm="1">
        <f t="array" ref="I10">_xlfn.IFS(F10&lt;40000,"Low",AND(F10&gt;40000,F10&lt;50000),"Medium",F10&gt;=50000,"High")</f>
        <v>Low</v>
      </c>
    </row>
    <row r="11" spans="1:9" x14ac:dyDescent="0.3">
      <c r="A11" t="s">
        <v>31</v>
      </c>
      <c r="B11" t="s">
        <v>32</v>
      </c>
      <c r="C11" t="s">
        <v>13</v>
      </c>
      <c r="D11" t="s">
        <v>10</v>
      </c>
      <c r="E11">
        <v>3</v>
      </c>
      <c r="F11">
        <v>58000</v>
      </c>
      <c r="G11">
        <v>0.11</v>
      </c>
      <c r="H11">
        <f t="shared" si="0"/>
        <v>64380.000000000007</v>
      </c>
      <c r="I11" t="str" cm="1">
        <f t="array" ref="I11">_xlfn.IFS(F11&lt;40000,"Low",AND(F11&gt;40000,F11&lt;50000),"Medium",F11&gt;=50000,"High")</f>
        <v>High</v>
      </c>
    </row>
    <row r="13" spans="1:9" x14ac:dyDescent="0.3">
      <c r="A13" s="2" t="s">
        <v>37</v>
      </c>
      <c r="B13" s="2" t="s">
        <v>38</v>
      </c>
      <c r="F13" s="2" t="s">
        <v>35</v>
      </c>
      <c r="G13" t="s">
        <v>42</v>
      </c>
    </row>
    <row r="14" spans="1:9" x14ac:dyDescent="0.3">
      <c r="A14" s="2" t="s">
        <v>35</v>
      </c>
      <c r="B14" t="s">
        <v>13</v>
      </c>
      <c r="C14" t="s">
        <v>9</v>
      </c>
      <c r="F14" s="3" t="s">
        <v>40</v>
      </c>
      <c r="G14" s="1">
        <v>3</v>
      </c>
    </row>
    <row r="15" spans="1:9" x14ac:dyDescent="0.3">
      <c r="A15" s="3" t="s">
        <v>21</v>
      </c>
      <c r="B15" s="1">
        <v>40280</v>
      </c>
      <c r="C15" s="1">
        <v>31200</v>
      </c>
      <c r="F15" s="3" t="s">
        <v>41</v>
      </c>
      <c r="G15" s="1">
        <v>3</v>
      </c>
    </row>
    <row r="16" spans="1:9" x14ac:dyDescent="0.3">
      <c r="A16" s="3" t="s">
        <v>16</v>
      </c>
      <c r="B16" s="1">
        <v>61600.000000000007</v>
      </c>
      <c r="C16" s="1">
        <v>47700</v>
      </c>
      <c r="F16" s="3" t="s">
        <v>39</v>
      </c>
      <c r="G16" s="1">
        <v>4</v>
      </c>
    </row>
    <row r="17" spans="1:7" x14ac:dyDescent="0.3">
      <c r="A17" s="3" t="s">
        <v>10</v>
      </c>
      <c r="B17" s="1">
        <v>54660</v>
      </c>
      <c r="C17" s="1">
        <v>33600</v>
      </c>
      <c r="F17" s="3" t="s">
        <v>36</v>
      </c>
      <c r="G17" s="1">
        <v>10</v>
      </c>
    </row>
    <row r="18" spans="1:7" x14ac:dyDescent="0.3">
      <c r="A18" s="3" t="s">
        <v>26</v>
      </c>
      <c r="B18" s="1">
        <v>51840</v>
      </c>
      <c r="C18" s="1">
        <v>51975</v>
      </c>
    </row>
    <row r="21" spans="1:7" x14ac:dyDescent="0.3">
      <c r="A21" s="3" t="s">
        <v>44</v>
      </c>
    </row>
    <row r="22" spans="1:7" x14ac:dyDescent="0.3">
      <c r="A22" s="4" t="s">
        <v>45</v>
      </c>
    </row>
    <row r="23" spans="1:7" x14ac:dyDescent="0.3">
      <c r="A23" s="3" t="s">
        <v>46</v>
      </c>
    </row>
    <row r="24" spans="1:7" x14ac:dyDescent="0.3">
      <c r="A24" s="4" t="s">
        <v>47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Adnaan</dc:creator>
  <cp:lastModifiedBy>Danish Adnaan</cp:lastModifiedBy>
  <dcterms:created xsi:type="dcterms:W3CDTF">2026-04-01T09:30:52Z</dcterms:created>
  <dcterms:modified xsi:type="dcterms:W3CDTF">2026-04-01T19:05:37Z</dcterms:modified>
</cp:coreProperties>
</file>