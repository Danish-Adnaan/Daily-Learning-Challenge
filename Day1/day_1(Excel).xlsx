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anis\OneDrive\Desktop\Learning_Challenge\PowerBI_or_Excel\"/>
    </mc:Choice>
  </mc:AlternateContent>
  <xr:revisionPtr revIDLastSave="0" documentId="8_{259294D1-6DAF-4FE5-A074-29C142B28CE0}" xr6:coauthVersionLast="47" xr6:coauthVersionMax="47" xr10:uidLastSave="{00000000-0000-0000-0000-000000000000}"/>
  <bookViews>
    <workbookView xWindow="-108" yWindow="-108" windowWidth="23256" windowHeight="12456" xr2:uid="{8061D5A3-241A-440C-B88F-131AE83E4311}"/>
  </bookViews>
  <sheets>
    <sheet name="Day1 - 26.03.2026" sheetId="1" r:id="rId1"/>
  </sheets>
  <definedNames>
    <definedName name="_xlcn.WorksheetConnection_Book1Orders1" hidden="1">Orders[]</definedName>
    <definedName name="Slicer_Region">#N/A</definedName>
  </definedNames>
  <calcPr calcId="191029"/>
  <pivotCaches>
    <pivotCache cacheId="4" r:id="rId2"/>
    <pivotCache cacheId="4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Book1!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0632B3-EB16-4051-857D-B769C2B5E8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86FC07D-C0C0-44AF-BF1E-EA3EF5B220C8}"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s>
</file>

<file path=xl/sharedStrings.xml><?xml version="1.0" encoding="utf-8"?>
<sst xmlns="http://schemas.openxmlformats.org/spreadsheetml/2006/main" count="77" uniqueCount="36">
  <si>
    <t>OrderID</t>
  </si>
  <si>
    <t>OrderDate</t>
  </si>
  <si>
    <t>Region</t>
  </si>
  <si>
    <t>Category</t>
  </si>
  <si>
    <t>Product</t>
  </si>
  <si>
    <t>Units</t>
  </si>
  <si>
    <t>UnitPrice</t>
  </si>
  <si>
    <t>Discount</t>
  </si>
  <si>
    <t>Salesperson</t>
  </si>
  <si>
    <t>North</t>
  </si>
  <si>
    <t>Phone</t>
  </si>
  <si>
    <t>Alpha X1</t>
  </si>
  <si>
    <t>Anita</t>
  </si>
  <si>
    <t>South</t>
  </si>
  <si>
    <t>Laptop</t>
  </si>
  <si>
    <t>ZenBook 14</t>
  </si>
  <si>
    <t>Rahul</t>
  </si>
  <si>
    <t>East</t>
  </si>
  <si>
    <t>Accessory</t>
  </si>
  <si>
    <t>Wireless Mouse</t>
  </si>
  <si>
    <t>West</t>
  </si>
  <si>
    <t>Farhan</t>
  </si>
  <si>
    <t>Pixel Pro</t>
  </si>
  <si>
    <t>Laptop Sleeve</t>
  </si>
  <si>
    <t>UltraBook 13</t>
  </si>
  <si>
    <t>USB-C Hub</t>
  </si>
  <si>
    <t>NetSales</t>
  </si>
  <si>
    <t>Sum of NetSales</t>
  </si>
  <si>
    <t>Row Labels</t>
  </si>
  <si>
    <t>Grand Total</t>
  </si>
  <si>
    <t>Sum of Units</t>
  </si>
  <si>
    <t xml:space="preserve"> Ans : South</t>
  </si>
  <si>
    <t>Questions</t>
  </si>
  <si>
    <t>1. Which Region has the highest total NetSales?</t>
  </si>
  <si>
    <t>2. Which Salesperson has sold the most Units in total?</t>
  </si>
  <si>
    <t>Ans : Rahul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</si>
</sst>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49"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6">
    <dxf>
      <numFmt numFmtId="0" formatCode="General"/>
    </dxf>
    <dxf>
      <numFmt numFmtId="30" formatCode="@"/>
    </dxf>
    <dxf>
      <numFmt numFmtId="30" formatCode="@"/>
    </dxf>
    <dxf>
      <numFmt numFmtId="30" formatCode="@"/>
    </dxf>
    <dxf>
      <numFmt numFmtId="30" formatCode="@"/>
    </dxf>
    <dxf>
      <numFmt numFmtId="19" formatCode="dd/mm/yyyy"/>
    </dxf>
  </dxfs>
  <tableStyles count="1" defaultTableStyle="TableStyleMedium2" defaultPivotStyle="PivotStyleLight16">
    <tableStyle name="Region" pivot="0" table="0" count="0" xr9:uid="{50A981DD-05FA-4458-9781-5C3DBA6FC7F1}"/>
  </tableStyles>
  <extLst>
    <ext xmlns:x14="http://schemas.microsoft.com/office/spreadsheetml/2009/9/main" uri="{EB79DEF2-80B8-43e5-95BD-54CBDDF9020C}">
      <x14:slicerStyles defaultSlicerStyle="SlicerStyleLight1">
        <x14:slicerStyle name="Region"/>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calcChain" Target="calcChain.xml"/><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[day_1(Excel).xlsx]Day1 - 26.03.2026!PivotTable1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'Day1 - 26.03.2026'!$B$16</c:f>
              <c:strCache>
                <c:ptCount val="1"/>
                <c:pt idx="0">
                  <c:v>Sum of NetSales</c:v>
                </c:pt>
              </c:strCache>
            </c:strRef>
          </c:tx>
          <c:spPr>
            <a:solidFill>
              <a:schemeClr val="accent1"/>
            </a:solidFill>
            <a:ln>
              <a:noFill/>
            </a:ln>
            <a:effectLst/>
          </c:spPr>
          <c:invertIfNegative val="0"/>
          <c:cat>
            <c:multiLvlStrRef>
              <c:f>'Day1 - 26.03.2026'!$A$17:$A$29</c:f>
              <c:multiLvlStrCache>
                <c:ptCount val="8"/>
                <c:lvl>
                  <c:pt idx="0">
                    <c:v>Accessory</c:v>
                  </c:pt>
                  <c:pt idx="1">
                    <c:v>Laptop</c:v>
                  </c:pt>
                  <c:pt idx="2">
                    <c:v>Phone</c:v>
                  </c:pt>
                  <c:pt idx="3">
                    <c:v>Accessory</c:v>
                  </c:pt>
                  <c:pt idx="4">
                    <c:v>Laptop</c:v>
                  </c:pt>
                  <c:pt idx="5">
                    <c:v>Phone</c:v>
                  </c:pt>
                  <c:pt idx="6">
                    <c:v>Laptop</c:v>
                  </c:pt>
                  <c:pt idx="7">
                    <c:v>Phone</c:v>
                  </c:pt>
                </c:lvl>
                <c:lvl>
                  <c:pt idx="0">
                    <c:v>East</c:v>
                  </c:pt>
                  <c:pt idx="1">
                    <c:v>North</c:v>
                  </c:pt>
                  <c:pt idx="3">
                    <c:v>South</c:v>
                  </c:pt>
                  <c:pt idx="6">
                    <c:v>West</c:v>
                  </c:pt>
                </c:lvl>
              </c:multiLvlStrCache>
            </c:multiLvlStrRef>
          </c:cat>
          <c:val>
            <c:numRef>
              <c:f>'Day1 - 26.03.2026'!$B$17:$B$29</c:f>
              <c:numCache>
                <c:formatCode>General</c:formatCode>
                <c:ptCount val="8"/>
                <c:pt idx="0">
                  <c:v>190</c:v>
                </c:pt>
                <c:pt idx="1">
                  <c:v>1530</c:v>
                </c:pt>
                <c:pt idx="2">
                  <c:v>1312.5</c:v>
                </c:pt>
                <c:pt idx="3">
                  <c:v>180</c:v>
                </c:pt>
                <c:pt idx="4">
                  <c:v>810</c:v>
                </c:pt>
                <c:pt idx="5">
                  <c:v>2280</c:v>
                </c:pt>
                <c:pt idx="6">
                  <c:v>1100</c:v>
                </c:pt>
                <c:pt idx="7">
                  <c:v>500</c:v>
                </c:pt>
              </c:numCache>
            </c:numRef>
          </c:val>
          <c:extLst>
            <c:ext xmlns:c16="http://schemas.microsoft.com/office/drawing/2014/chart" uri="{C3380CC4-5D6E-409C-BE32-E72D297353CC}">
              <c16:uniqueId val="{00000002-2129-4FDF-9292-DFF9BD170762}"/>
            </c:ext>
          </c:extLst>
        </c:ser>
        <c:ser>
          <c:idx val="1"/>
          <c:order val="1"/>
          <c:tx>
            <c:strRef>
              <c:f>'Day1 - 26.03.2026'!$C$16</c:f>
              <c:strCache>
                <c:ptCount val="1"/>
                <c:pt idx="0">
                  <c:v>Sum of Units</c:v>
                </c:pt>
              </c:strCache>
            </c:strRef>
          </c:tx>
          <c:spPr>
            <a:solidFill>
              <a:schemeClr val="accent2"/>
            </a:solidFill>
            <a:ln>
              <a:noFill/>
            </a:ln>
            <a:effectLst/>
          </c:spPr>
          <c:invertIfNegative val="0"/>
          <c:cat>
            <c:multiLvlStrRef>
              <c:f>'Day1 - 26.03.2026'!$A$17:$A$29</c:f>
              <c:multiLvlStrCache>
                <c:ptCount val="8"/>
                <c:lvl>
                  <c:pt idx="0">
                    <c:v>Accessory</c:v>
                  </c:pt>
                  <c:pt idx="1">
                    <c:v>Laptop</c:v>
                  </c:pt>
                  <c:pt idx="2">
                    <c:v>Phone</c:v>
                  </c:pt>
                  <c:pt idx="3">
                    <c:v>Accessory</c:v>
                  </c:pt>
                  <c:pt idx="4">
                    <c:v>Laptop</c:v>
                  </c:pt>
                  <c:pt idx="5">
                    <c:v>Phone</c:v>
                  </c:pt>
                  <c:pt idx="6">
                    <c:v>Laptop</c:v>
                  </c:pt>
                  <c:pt idx="7">
                    <c:v>Phone</c:v>
                  </c:pt>
                </c:lvl>
                <c:lvl>
                  <c:pt idx="0">
                    <c:v>East</c:v>
                  </c:pt>
                  <c:pt idx="1">
                    <c:v>North</c:v>
                  </c:pt>
                  <c:pt idx="3">
                    <c:v>South</c:v>
                  </c:pt>
                  <c:pt idx="6">
                    <c:v>West</c:v>
                  </c:pt>
                </c:lvl>
              </c:multiLvlStrCache>
            </c:multiLvlStrRef>
          </c:cat>
          <c:val>
            <c:numRef>
              <c:f>'Day1 - 26.03.2026'!$C$17:$C$29</c:f>
              <c:numCache>
                <c:formatCode>General</c:formatCode>
                <c:ptCount val="8"/>
                <c:pt idx="0">
                  <c:v>11</c:v>
                </c:pt>
                <c:pt idx="1">
                  <c:v>2</c:v>
                </c:pt>
                <c:pt idx="2">
                  <c:v>4</c:v>
                </c:pt>
                <c:pt idx="3">
                  <c:v>8</c:v>
                </c:pt>
                <c:pt idx="4">
                  <c:v>1</c:v>
                </c:pt>
                <c:pt idx="5">
                  <c:v>4</c:v>
                </c:pt>
                <c:pt idx="6">
                  <c:v>1</c:v>
                </c:pt>
                <c:pt idx="7">
                  <c:v>2</c:v>
                </c:pt>
              </c:numCache>
            </c:numRef>
          </c:val>
          <c:extLst>
            <c:ext xmlns:c16="http://schemas.microsoft.com/office/drawing/2014/chart" uri="{C3380CC4-5D6E-409C-BE32-E72D297353CC}">
              <c16:uniqueId val="{00000004-2129-4FDF-9292-DFF9BD170762}"/>
            </c:ext>
          </c:extLst>
        </c:ser>
        <c:dLbls>
          <c:showLegendKey val="0"/>
          <c:showVal val="0"/>
          <c:showCatName val="0"/>
          <c:showSerName val="0"/>
          <c:showPercent val="0"/>
          <c:showBubbleSize val="0"/>
        </c:dLbls>
        <c:gapWidth val="219"/>
        <c:overlap val="-27"/>
        <c:axId val="671986624"/>
        <c:axId val="671988544"/>
      </c:barChart>
      <c:catAx>
        <c:axId val="6719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88544"/>
        <c:crosses val="autoZero"/>
        <c:auto val="1"/>
        <c:lblAlgn val="ctr"/>
        <c:lblOffset val="100"/>
        <c:noMultiLvlLbl val="0"/>
      </c:catAx>
      <c:valAx>
        <c:axId val="67198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8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[day_1(Excel).xlsx]Day1 - 26.03.2026!PivotTable23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'Day1 - 26.03.2026'!$L$13</c:f>
              <c:strCache>
                <c:ptCount val="1"/>
                <c:pt idx="0">
                  <c:v>Total</c:v>
                </c:pt>
              </c:strCache>
            </c:strRef>
          </c:tx>
          <c:spPr>
            <a:solidFill>
              <a:schemeClr val="accent1"/>
            </a:solidFill>
            <a:ln>
              <a:noFill/>
            </a:ln>
            <a:effectLst/>
          </c:spPr>
          <c:invertIfNegative val="0"/>
          <c:cat>
            <c:strRef>
              <c:f>'Day1 - 26.03.2026'!$K$14:$K$17</c:f>
              <c:strCache>
                <c:ptCount val="3"/>
                <c:pt idx="0">
                  <c:v>Anita</c:v>
                </c:pt>
                <c:pt idx="1">
                  <c:v>Farhan</c:v>
                </c:pt>
                <c:pt idx="2">
                  <c:v>Rahul</c:v>
                </c:pt>
              </c:strCache>
            </c:strRef>
          </c:cat>
          <c:val>
            <c:numRef>
              <c:f>'Day1 - 26.03.2026'!$L$14:$L$17</c:f>
              <c:numCache>
                <c:formatCode>General</c:formatCode>
                <c:ptCount val="3"/>
                <c:pt idx="0">
                  <c:v>1502.5</c:v>
                </c:pt>
                <c:pt idx="1">
                  <c:v>3130</c:v>
                </c:pt>
                <c:pt idx="2">
                  <c:v>3270</c:v>
                </c:pt>
              </c:numCache>
            </c:numRef>
          </c:val>
          <c:extLst>
            <c:ext xmlns:c16="http://schemas.microsoft.com/office/drawing/2014/chart" uri="{C3380CC4-5D6E-409C-BE32-E72D297353CC}">
              <c16:uniqueId val="{00000000-587C-40EE-A7D8-A5EA542B70F3}"/>
            </c:ext>
          </c:extLst>
        </c:ser>
        <c:dLbls>
          <c:showLegendKey val="0"/>
          <c:showVal val="0"/>
          <c:showCatName val="0"/>
          <c:showSerName val="0"/>
          <c:showPercent val="0"/>
          <c:showBubbleSize val="0"/>
        </c:dLbls>
        <c:gapWidth val="219"/>
        <c:overlap val="-27"/>
        <c:axId val="152361647"/>
        <c:axId val="152370767"/>
      </c:barChart>
      <c:catAx>
        <c:axId val="15236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0767"/>
        <c:crosses val="autoZero"/>
        <c:auto val="1"/>
        <c:lblAlgn val="ctr"/>
        <c:lblOffset val="100"/>
        <c:noMultiLvlLbl val="0"/>
      </c:catAx>
      <c:valAx>
        <c:axId val="15237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125384</xdr:colOff>
      <xdr:row>13</xdr:row>
      <xdr:rowOff>55419</xdr:rowOff>
    </xdr:from>
    <xdr:to>
      <xdr:col>9</xdr:col>
      <xdr:colOff>360218</xdr:colOff>
      <xdr:row>29</xdr:row>
      <xdr:rowOff>133697</xdr:rowOff>
    </xdr:to>
    <xdr:graphicFrame macro="">
      <xdr:nvGraphicFramePr>
        <xdr:cNvPr id="2" name="Chart 1">
          <a:extLst>
            <a:ext uri="{FF2B5EF4-FFF2-40B4-BE49-F238E27FC236}">
              <a16:creationId xmlns:a16="http://schemas.microsoft.com/office/drawing/2014/main" id="{45D5D741-21E4-6EB9-1475-236D67A11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540326</xdr:colOff>
      <xdr:row>17</xdr:row>
      <xdr:rowOff>132608</xdr:rowOff>
    </xdr:from>
    <xdr:to>
      <xdr:col>14</xdr:col>
      <xdr:colOff>32853</xdr:colOff>
      <xdr:row>31</xdr:row>
      <xdr:rowOff>147303</xdr:rowOff>
    </xdr:to>
    <xdr:graphicFrame macro="">
      <xdr:nvGraphicFramePr>
        <xdr:cNvPr id="4" name="Chart 3">
          <a:extLst>
            <a:ext uri="{FF2B5EF4-FFF2-40B4-BE49-F238E27FC236}">
              <a16:creationId xmlns:a16="http://schemas.microsoft.com/office/drawing/2014/main" id="{8546E42A-4BC3-09E9-6D22-459144469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315091</xdr:colOff>
      <xdr:row>2</xdr:row>
      <xdr:rowOff>78971</xdr:rowOff>
    </xdr:from>
    <xdr:to>
      <xdr:col>11</xdr:col>
      <xdr:colOff>1311233</xdr:colOff>
      <xdr:row>10</xdr:row>
      <xdr:rowOff>117764</xdr:rowOff>
    </xdr:to>
    <mc:AlternateContent xmlns:mc="http://schemas.openxmlformats.org/markup-compatibility/2006">
      <mc:Choice xmlns:sle15="http://schemas.microsoft.com/office/drawing/2012/slicer" Requires="sle15">
        <xdr:graphicFrame macro="">
          <xdr:nvGraphicFramePr>
            <xdr:cNvPr id="5" name="Region">
              <a:extLst>
                <a:ext uri="{FF2B5EF4-FFF2-40B4-BE49-F238E27FC236}">
                  <a16:creationId xmlns:a16="http://schemas.microsoft.com/office/drawing/2014/main" id="{46905E30-936A-1CFC-95B5-F0C3408805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59634" y="449085"/>
              <a:ext cx="1856113" cy="1519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Adnaan" refreshedDate="46107.606098495373" createdVersion="8" refreshedVersion="8" minRefreshableVersion="3" recordCount="10" xr:uid="{2F578930-CCDC-4018-B4B5-74EB888272F0}">
  <cacheSource type="worksheet">
    <worksheetSource name="Orders"/>
  </cacheSource>
  <cacheFields count="10">
    <cacheField name="OrderID" numFmtId="0">
      <sharedItems containsSemiMixedTypes="0" containsString="0" containsNumber="1" containsInteger="1" minValue="1001" maxValue="1010"/>
    </cacheField>
    <cacheField name="OrderDate" numFmtId="14">
      <sharedItems containsSemiMixedTypes="0" containsNonDate="0" containsDate="1" containsString="0" minDate="2025-01-03T00:00:00" maxDate="2025-01-11T00:00:00"/>
    </cacheField>
    <cacheField name="Region" numFmtId="49">
      <sharedItems count="4">
        <s v="North"/>
        <s v="South"/>
        <s v="East"/>
        <s v="West"/>
      </sharedItems>
    </cacheField>
    <cacheField name="Category" numFmtId="49">
      <sharedItems count="3">
        <s v="Phone"/>
        <s v="Laptop"/>
        <s v="Accessory"/>
      </sharedItems>
    </cacheField>
    <cacheField name="Product" numFmtId="49">
      <sharedItems/>
    </cacheField>
    <cacheField name="Units" numFmtId="0">
      <sharedItems containsSemiMixedTypes="0" containsString="0" containsNumber="1" containsInteger="1" minValue="1" maxValue="8"/>
    </cacheField>
    <cacheField name="UnitPrice" numFmtId="0">
      <sharedItems containsSemiMixedTypes="0" containsString="0" containsNumber="1" containsInteger="1" minValue="15" maxValue="1100"/>
    </cacheField>
    <cacheField name="Discount" numFmtId="0">
      <sharedItems containsSemiMixedTypes="0" containsString="0" containsNumber="1" minValue="0" maxValue="0.15"/>
    </cacheField>
    <cacheField name="Salesperson" numFmtId="49">
      <sharedItems/>
    </cacheField>
    <cacheField name="NetSales" numFmtId="0">
      <sharedItems containsSemiMixedTypes="0" containsString="0" containsNumber="1" minValue="90" maxValue="22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Adnaan" refreshedDate="46107.611041898148" createdVersion="8" refreshedVersion="8" minRefreshableVersion="3" recordCount="10" xr:uid="{9A997404-70E8-44EC-8C53-B3BD5109133A}">
  <cacheSource type="worksheet">
    <worksheetSource name="Orders[[Salesperson]:[NetSales]]"/>
  </cacheSource>
  <cacheFields count="2">
    <cacheField name="Salesperson" numFmtId="49">
      <sharedItems count="3">
        <s v="Anita"/>
        <s v="Rahul"/>
        <s v="Farhan"/>
      </sharedItems>
    </cacheField>
    <cacheField name="NetSales" numFmtId="0">
      <sharedItems containsSemiMixedTypes="0" containsString="0" containsNumber="1" minValue="90" maxValue="22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d v="2025-01-03T00:00:00"/>
    <x v="0"/>
    <x v="0"/>
    <s v="Alpha X1"/>
    <n v="3"/>
    <n v="250"/>
    <n v="0.05"/>
    <s v="Anita"/>
    <n v="712.5"/>
  </r>
  <r>
    <n v="1002"/>
    <d v="2025-01-04T00:00:00"/>
    <x v="1"/>
    <x v="1"/>
    <s v="ZenBook 14"/>
    <n v="1"/>
    <n v="900"/>
    <n v="0.1"/>
    <s v="Rahul"/>
    <n v="810"/>
  </r>
  <r>
    <n v="1003"/>
    <d v="2025-01-05T00:00:00"/>
    <x v="2"/>
    <x v="2"/>
    <s v="Wireless Mouse"/>
    <n v="5"/>
    <n v="20"/>
    <n v="0"/>
    <s v="Anita"/>
    <n v="100"/>
  </r>
  <r>
    <n v="1004"/>
    <d v="2025-01-05T00:00:00"/>
    <x v="3"/>
    <x v="0"/>
    <s v="Alpha X1"/>
    <n v="2"/>
    <n v="250"/>
    <n v="0"/>
    <s v="Farhan"/>
    <n v="500"/>
  </r>
  <r>
    <n v="1005"/>
    <d v="2025-01-06T00:00:00"/>
    <x v="0"/>
    <x v="1"/>
    <s v="ZenBook 14"/>
    <n v="2"/>
    <n v="900"/>
    <n v="0.15"/>
    <s v="Farhan"/>
    <n v="1530"/>
  </r>
  <r>
    <n v="1006"/>
    <d v="2025-01-06T00:00:00"/>
    <x v="1"/>
    <x v="0"/>
    <s v="Pixel Pro"/>
    <n v="4"/>
    <n v="600"/>
    <n v="0.05"/>
    <s v="Rahul"/>
    <n v="2280"/>
  </r>
  <r>
    <n v="1007"/>
    <d v="2025-01-07T00:00:00"/>
    <x v="2"/>
    <x v="2"/>
    <s v="Laptop Sleeve"/>
    <n v="6"/>
    <n v="15"/>
    <n v="0"/>
    <s v="Anita"/>
    <n v="90"/>
  </r>
  <r>
    <n v="1008"/>
    <d v="2025-01-08T00:00:00"/>
    <x v="3"/>
    <x v="1"/>
    <s v="UltraBook 13"/>
    <n v="1"/>
    <n v="1100"/>
    <n v="0"/>
    <s v="Farhan"/>
    <n v="1100"/>
  </r>
  <r>
    <n v="1009"/>
    <d v="2025-01-09T00:00:00"/>
    <x v="0"/>
    <x v="0"/>
    <s v="Pixel Pro"/>
    <n v="1"/>
    <n v="600"/>
    <n v="0"/>
    <s v="Anita"/>
    <n v="600"/>
  </r>
  <r>
    <n v="1010"/>
    <d v="2025-01-10T00:00:00"/>
    <x v="1"/>
    <x v="2"/>
    <s v="USB-C Hub"/>
    <n v="8"/>
    <n v="25"/>
    <n v="0.1"/>
    <s v="Rahul"/>
    <n v="1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2.5"/>
  </r>
  <r>
    <x v="1"/>
    <n v="810"/>
  </r>
  <r>
    <x v="0"/>
    <n v="100"/>
  </r>
  <r>
    <x v="2"/>
    <n v="500"/>
  </r>
  <r>
    <x v="2"/>
    <n v="1530"/>
  </r>
  <r>
    <x v="1"/>
    <n v="2280"/>
  </r>
  <r>
    <x v="0"/>
    <n v="90"/>
  </r>
  <r>
    <x v="2"/>
    <n v="1100"/>
  </r>
  <r>
    <x v="0"/>
    <n v="600"/>
  </r>
  <r>
    <x v="1"/>
    <n v="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B43631-0871-4C71-8C75-BE10AD1B72E1}" name="PivotTable2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3:L17" firstHeaderRow="1" firstDataRow="1" firstDataCol="1"/>
  <pivotFields count="2">
    <pivotField axis="axisRow" showAll="0">
      <items count="4">
        <item x="0"/>
        <item x="2"/>
        <item x="1"/>
        <item t="default"/>
      </items>
    </pivotField>
    <pivotField dataField="1" showAll="0"/>
  </pivotFields>
  <rowFields count="1">
    <field x="0"/>
  </rowFields>
  <rowItems count="4">
    <i>
      <x/>
    </i>
    <i>
      <x v="1"/>
    </i>
    <i>
      <x v="2"/>
    </i>
    <i t="grand">
      <x/>
    </i>
  </rowItems>
  <colItems count="1">
    <i/>
  </colItems>
  <dataFields count="1">
    <dataField name="Sum of Net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EED3A-30DE-4091-B2D5-1D8F3542BA2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C29" firstHeaderRow="0" firstDataRow="1" firstDataCol="1"/>
  <pivotFields count="10">
    <pivotField showAll="0"/>
    <pivotField numFmtId="14" showAll="0"/>
    <pivotField axis="axisRow" showAll="0">
      <items count="5">
        <item x="2"/>
        <item x="0"/>
        <item x="1"/>
        <item x="3"/>
        <item t="default"/>
      </items>
    </pivotField>
    <pivotField axis="axisRow" showAll="0">
      <items count="4">
        <item x="2"/>
        <item x="1"/>
        <item x="0"/>
        <item t="default"/>
      </items>
    </pivotField>
    <pivotField showAll="0"/>
    <pivotField dataField="1" showAll="0"/>
    <pivotField showAll="0"/>
    <pivotField showAll="0"/>
    <pivotField showAll="0"/>
    <pivotField dataField="1" showAll="0"/>
  </pivotFields>
  <rowFields count="2">
    <field x="2"/>
    <field x="3"/>
  </rowFields>
  <rowItems count="13">
    <i>
      <x/>
    </i>
    <i r="1">
      <x/>
    </i>
    <i>
      <x v="1"/>
    </i>
    <i r="1">
      <x v="1"/>
    </i>
    <i r="1">
      <x v="2"/>
    </i>
    <i>
      <x v="2"/>
    </i>
    <i r="1">
      <x/>
    </i>
    <i r="1">
      <x v="1"/>
    </i>
    <i r="1">
      <x v="2"/>
    </i>
    <i>
      <x v="3"/>
    </i>
    <i r="1">
      <x v="1"/>
    </i>
    <i r="1">
      <x v="2"/>
    </i>
    <i t="grand">
      <x/>
    </i>
  </rowItems>
  <colFields count="1">
    <field x="-2"/>
  </colFields>
  <colItems count="2">
    <i>
      <x/>
    </i>
    <i i="1">
      <x v="1"/>
    </i>
  </colItems>
  <dataFields count="2">
    <dataField name="Sum of NetSales" fld="9" baseField="0" baseItem="0"/>
    <dataField name="Sum of Units" fld="5" baseField="0" baseItem="0"/>
  </dataFields>
  <chartFormats count="2">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2DEEF2-B2F5-421C-8C56-D371A54D5739}" sourceName="Reg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D52734-5A84-443D-B5D9-CB87552D49E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E6CF6D-E7C8-486E-912A-7F4DF3B98B4D}" name="Orders" displayName="Orders" ref="A1:J11" totalsRowShown="0">
  <autoFilter ref="A1:J11" xr:uid="{EEE6CF6D-E7C8-486E-912A-7F4DF3B98B4D}"/>
  <tableColumns count="10">
    <tableColumn id="1" xr3:uid="{506B3AD6-12B2-4CCB-B044-A26B93D14DFB}" name="OrderID"/>
    <tableColumn id="2" xr3:uid="{30DF87FC-22BA-4BF3-BAFC-66A42E7F5255}" name="OrderDate" dataDxfId="5"/>
    <tableColumn id="3" xr3:uid="{5BB2BD58-8BEE-4A36-9941-F7989FC653DB}" name="Region" dataDxfId="4"/>
    <tableColumn id="4" xr3:uid="{B23B356C-9DEC-485E-9EA2-EAB2A7B205AA}" name="Category" dataDxfId="3"/>
    <tableColumn id="5" xr3:uid="{2B81BFB3-6A23-4B11-998C-8E5803309EBA}" name="Product" dataDxfId="2"/>
    <tableColumn id="6" xr3:uid="{0718727F-4F44-4F53-A60C-0FBD928A5262}" name="Units"/>
    <tableColumn id="7" xr3:uid="{EA78E51E-1B35-41F7-898D-047F832833B7}" name="UnitPrice"/>
    <tableColumn id="8" xr3:uid="{0F0CB643-D14C-4329-A915-D11B5A7B8B2E}" name="Discount"/>
    <tableColumn id="9" xr3:uid="{60B406FB-1473-4E6F-BBF3-1E966C2742C8}" name="Salesperson" dataDxfId="1"/>
    <tableColumn id="10" xr3:uid="{B3F0A6CB-64DB-4527-8F82-B7A4F7E91659}" name="NetSales" dataDxfId="0">
      <calculatedColumnFormula>Orders[[#This Row],[Units]]*Orders[[#This Row],[UnitPrice]]-(Orders[[#This Row],[Units]]*Orders[[#This Row],[UnitPrice]]*Orders[[#This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3B86-0744-4FFC-9D5B-C98C98641088}">
  <dimension ref="A1:L34"/>
  <sheetViews>
    <sheetView tabSelected="1" zoomScale="70" zoomScaleNormal="70" workbookViewId="0">
      <selection activeCell="P17" sqref="P17"/>
    </sheetView>
  </sheetViews>
  <sheetFormatPr defaultRowHeight="14.4" x14ac:dyDescent="0.3"/>
  <cols>
    <col min="1" max="1" width="13.88671875" bestFit="1" customWidth="1"/>
    <col min="2" max="2" width="15.33203125" bestFit="1" customWidth="1"/>
    <col min="3" max="4" width="12" bestFit="1" customWidth="1"/>
    <col min="5" max="5" width="14" bestFit="1" customWidth="1"/>
    <col min="6" max="6" width="7.21875" customWidth="1"/>
    <col min="7" max="7" width="10.5546875" customWidth="1"/>
    <col min="8" max="8" width="10.21875" customWidth="1"/>
    <col min="9" max="9" width="12.88671875" customWidth="1"/>
    <col min="11" max="11" width="12.5546875" bestFit="1" customWidth="1"/>
    <col min="12" max="12" width="20.33203125" bestFit="1" customWidth="1"/>
  </cols>
  <sheetData>
    <row r="1" spans="1:12" x14ac:dyDescent="0.3">
      <c r="A1" s="1" t="s">
        <v>0</v>
      </c>
      <c r="B1" t="s">
        <v>1</v>
      </c>
      <c r="C1" s="2" t="s">
        <v>2</v>
      </c>
      <c r="D1" s="2" t="s">
        <v>3</v>
      </c>
      <c r="E1" s="2" t="s">
        <v>4</v>
      </c>
      <c r="F1" t="s">
        <v>5</v>
      </c>
      <c r="G1" t="s">
        <v>6</v>
      </c>
      <c r="H1" t="s">
        <v>7</v>
      </c>
      <c r="I1" s="2" t="s">
        <v>8</v>
      </c>
      <c r="J1" t="s">
        <v>26</v>
      </c>
    </row>
    <row r="2" spans="1:12" x14ac:dyDescent="0.3">
      <c r="A2">
        <v>1001</v>
      </c>
      <c r="B2" s="3">
        <v>45660</v>
      </c>
      <c r="C2" s="2" t="s">
        <v>9</v>
      </c>
      <c r="D2" s="2" t="s">
        <v>10</v>
      </c>
      <c r="E2" s="2" t="s">
        <v>11</v>
      </c>
      <c r="F2">
        <v>3</v>
      </c>
      <c r="G2">
        <v>250</v>
      </c>
      <c r="H2">
        <v>0.05</v>
      </c>
      <c r="I2" s="2" t="s">
        <v>12</v>
      </c>
      <c r="J2">
        <f>Orders[[#This Row],[Units]]*Orders[[#This Row],[UnitPrice]]-(Orders[[#This Row],[Units]]*Orders[[#This Row],[UnitPrice]]*Orders[[#This Row],[Discount]])</f>
        <v>712.5</v>
      </c>
    </row>
    <row r="3" spans="1:12" x14ac:dyDescent="0.3">
      <c r="A3">
        <v>1002</v>
      </c>
      <c r="B3" s="3">
        <v>45661</v>
      </c>
      <c r="C3" s="2" t="s">
        <v>13</v>
      </c>
      <c r="D3" s="2" t="s">
        <v>14</v>
      </c>
      <c r="E3" s="2" t="s">
        <v>15</v>
      </c>
      <c r="F3">
        <v>1</v>
      </c>
      <c r="G3">
        <v>900</v>
      </c>
      <c r="H3">
        <v>0.1</v>
      </c>
      <c r="I3" s="2" t="s">
        <v>16</v>
      </c>
      <c r="J3">
        <f>Orders[[#This Row],[Units]]*Orders[[#This Row],[UnitPrice]]-(Orders[[#This Row],[Units]]*Orders[[#This Row],[UnitPrice]]*Orders[[#This Row],[Discount]])</f>
        <v>810</v>
      </c>
    </row>
    <row r="4" spans="1:12" x14ac:dyDescent="0.3">
      <c r="A4">
        <v>1003</v>
      </c>
      <c r="B4" s="3">
        <v>45662</v>
      </c>
      <c r="C4" s="2" t="s">
        <v>17</v>
      </c>
      <c r="D4" s="2" t="s">
        <v>18</v>
      </c>
      <c r="E4" s="2" t="s">
        <v>19</v>
      </c>
      <c r="F4">
        <v>5</v>
      </c>
      <c r="G4">
        <v>20</v>
      </c>
      <c r="H4">
        <v>0</v>
      </c>
      <c r="I4" s="2" t="s">
        <v>12</v>
      </c>
      <c r="J4">
        <f>Orders[[#This Row],[Units]]*Orders[[#This Row],[UnitPrice]]-(Orders[[#This Row],[Units]]*Orders[[#This Row],[UnitPrice]]*Orders[[#This Row],[Discount]])</f>
        <v>100</v>
      </c>
    </row>
    <row r="5" spans="1:12" x14ac:dyDescent="0.3">
      <c r="A5">
        <v>1004</v>
      </c>
      <c r="B5" s="3">
        <v>45662</v>
      </c>
      <c r="C5" s="2" t="s">
        <v>20</v>
      </c>
      <c r="D5" s="2" t="s">
        <v>10</v>
      </c>
      <c r="E5" s="2" t="s">
        <v>11</v>
      </c>
      <c r="F5">
        <v>2</v>
      </c>
      <c r="G5">
        <v>250</v>
      </c>
      <c r="H5">
        <v>0</v>
      </c>
      <c r="I5" s="2" t="s">
        <v>21</v>
      </c>
      <c r="J5">
        <f>Orders[[#This Row],[Units]]*Orders[[#This Row],[UnitPrice]]-(Orders[[#This Row],[Units]]*Orders[[#This Row],[UnitPrice]]*Orders[[#This Row],[Discount]])</f>
        <v>500</v>
      </c>
    </row>
    <row r="6" spans="1:12" x14ac:dyDescent="0.3">
      <c r="A6">
        <v>1005</v>
      </c>
      <c r="B6" s="3">
        <v>45663</v>
      </c>
      <c r="C6" s="2" t="s">
        <v>9</v>
      </c>
      <c r="D6" s="2" t="s">
        <v>14</v>
      </c>
      <c r="E6" s="2" t="s">
        <v>15</v>
      </c>
      <c r="F6">
        <v>2</v>
      </c>
      <c r="G6">
        <v>900</v>
      </c>
      <c r="H6">
        <v>0.15</v>
      </c>
      <c r="I6" s="2" t="s">
        <v>21</v>
      </c>
      <c r="J6">
        <f>Orders[[#This Row],[Units]]*Orders[[#This Row],[UnitPrice]]-(Orders[[#This Row],[Units]]*Orders[[#This Row],[UnitPrice]]*Orders[[#This Row],[Discount]])</f>
        <v>1530</v>
      </c>
    </row>
    <row r="7" spans="1:12" x14ac:dyDescent="0.3">
      <c r="A7">
        <v>1006</v>
      </c>
      <c r="B7" s="3">
        <v>45663</v>
      </c>
      <c r="C7" s="2" t="s">
        <v>13</v>
      </c>
      <c r="D7" s="2" t="s">
        <v>10</v>
      </c>
      <c r="E7" s="2" t="s">
        <v>22</v>
      </c>
      <c r="F7">
        <v>4</v>
      </c>
      <c r="G7">
        <v>600</v>
      </c>
      <c r="H7">
        <v>0.05</v>
      </c>
      <c r="I7" s="2" t="s">
        <v>16</v>
      </c>
      <c r="J7">
        <f>Orders[[#This Row],[Units]]*Orders[[#This Row],[UnitPrice]]-(Orders[[#This Row],[Units]]*Orders[[#This Row],[UnitPrice]]*Orders[[#This Row],[Discount]])</f>
        <v>2280</v>
      </c>
    </row>
    <row r="8" spans="1:12" x14ac:dyDescent="0.3">
      <c r="A8">
        <v>1007</v>
      </c>
      <c r="B8" s="3">
        <v>45664</v>
      </c>
      <c r="C8" s="2" t="s">
        <v>17</v>
      </c>
      <c r="D8" s="2" t="s">
        <v>18</v>
      </c>
      <c r="E8" s="2" t="s">
        <v>23</v>
      </c>
      <c r="F8">
        <v>6</v>
      </c>
      <c r="G8">
        <v>15</v>
      </c>
      <c r="H8">
        <v>0</v>
      </c>
      <c r="I8" s="2" t="s">
        <v>12</v>
      </c>
      <c r="J8">
        <f>Orders[[#This Row],[Units]]*Orders[[#This Row],[UnitPrice]]-(Orders[[#This Row],[Units]]*Orders[[#This Row],[UnitPrice]]*Orders[[#This Row],[Discount]])</f>
        <v>90</v>
      </c>
    </row>
    <row r="9" spans="1:12" x14ac:dyDescent="0.3">
      <c r="A9">
        <v>1008</v>
      </c>
      <c r="B9" s="3">
        <v>45665</v>
      </c>
      <c r="C9" s="2" t="s">
        <v>20</v>
      </c>
      <c r="D9" s="2" t="s">
        <v>14</v>
      </c>
      <c r="E9" s="2" t="s">
        <v>24</v>
      </c>
      <c r="F9">
        <v>1</v>
      </c>
      <c r="G9">
        <v>1100</v>
      </c>
      <c r="H9">
        <v>0</v>
      </c>
      <c r="I9" s="2" t="s">
        <v>21</v>
      </c>
      <c r="J9">
        <f>Orders[[#This Row],[Units]]*Orders[[#This Row],[UnitPrice]]-(Orders[[#This Row],[Units]]*Orders[[#This Row],[UnitPrice]]*Orders[[#This Row],[Discount]])</f>
        <v>1100</v>
      </c>
    </row>
    <row r="10" spans="1:12" x14ac:dyDescent="0.3">
      <c r="A10">
        <v>1009</v>
      </c>
      <c r="B10" s="3">
        <v>45666</v>
      </c>
      <c r="C10" s="2" t="s">
        <v>9</v>
      </c>
      <c r="D10" s="2" t="s">
        <v>10</v>
      </c>
      <c r="E10" s="2" t="s">
        <v>22</v>
      </c>
      <c r="F10">
        <v>1</v>
      </c>
      <c r="G10">
        <v>600</v>
      </c>
      <c r="H10">
        <v>0</v>
      </c>
      <c r="I10" s="2" t="s">
        <v>12</v>
      </c>
      <c r="J10">
        <f>Orders[[#This Row],[Units]]*Orders[[#This Row],[UnitPrice]]-(Orders[[#This Row],[Units]]*Orders[[#This Row],[UnitPrice]]*Orders[[#This Row],[Discount]])</f>
        <v>600</v>
      </c>
    </row>
    <row r="11" spans="1:12" x14ac:dyDescent="0.3">
      <c r="A11">
        <v>1010</v>
      </c>
      <c r="B11" s="3">
        <v>45667</v>
      </c>
      <c r="C11" s="2" t="s">
        <v>13</v>
      </c>
      <c r="D11" s="2" t="s">
        <v>18</v>
      </c>
      <c r="E11" s="2" t="s">
        <v>25</v>
      </c>
      <c r="F11">
        <v>8</v>
      </c>
      <c r="G11">
        <v>25</v>
      </c>
      <c r="H11">
        <v>0.1</v>
      </c>
      <c r="I11" s="2" t="s">
        <v>16</v>
      </c>
      <c r="J11">
        <f>Orders[[#This Row],[Units]]*Orders[[#This Row],[UnitPrice]]-(Orders[[#This Row],[Units]]*Orders[[#This Row],[UnitPrice]]*Orders[[#This Row],[Discount]])</f>
        <v>180</v>
      </c>
    </row>
    <row r="13" spans="1:12" x14ac:dyDescent="0.3">
      <c r="K13" s="5" t="s">
        <v>28</v>
      </c>
      <c r="L13" t="s">
        <v>27</v>
      </c>
    </row>
    <row r="14" spans="1:12" x14ac:dyDescent="0.3">
      <c r="K14" s="6" t="s">
        <v>12</v>
      </c>
      <c r="L14" s="4">
        <v>1502.5</v>
      </c>
    </row>
    <row r="15" spans="1:12" x14ac:dyDescent="0.3">
      <c r="K15" s="6" t="s">
        <v>21</v>
      </c>
      <c r="L15" s="4">
        <v>3130</v>
      </c>
    </row>
    <row r="16" spans="1:12" x14ac:dyDescent="0.3">
      <c r="A16" s="5" t="s">
        <v>28</v>
      </c>
      <c r="B16" t="s">
        <v>27</v>
      </c>
      <c r="C16" t="s">
        <v>30</v>
      </c>
      <c r="K16" s="6" t="s">
        <v>16</v>
      </c>
      <c r="L16" s="4">
        <v>3270</v>
      </c>
    </row>
    <row r="17" spans="1:12" x14ac:dyDescent="0.3">
      <c r="A17" s="6" t="s">
        <v>17</v>
      </c>
      <c r="B17" s="4">
        <v>190</v>
      </c>
      <c r="C17" s="4">
        <v>11</v>
      </c>
      <c r="K17" s="6" t="s">
        <v>29</v>
      </c>
      <c r="L17" s="4">
        <v>7902.5</v>
      </c>
    </row>
    <row r="18" spans="1:12" x14ac:dyDescent="0.3">
      <c r="A18" s="7" t="s">
        <v>18</v>
      </c>
      <c r="B18" s="4">
        <v>190</v>
      </c>
      <c r="C18" s="4">
        <v>11</v>
      </c>
    </row>
    <row r="19" spans="1:12" x14ac:dyDescent="0.3">
      <c r="A19" s="6" t="s">
        <v>9</v>
      </c>
      <c r="B19" s="4">
        <v>2842.5</v>
      </c>
      <c r="C19" s="4">
        <v>6</v>
      </c>
    </row>
    <row r="20" spans="1:12" x14ac:dyDescent="0.3">
      <c r="A20" s="7" t="s">
        <v>14</v>
      </c>
      <c r="B20" s="4">
        <v>1530</v>
      </c>
      <c r="C20" s="4">
        <v>2</v>
      </c>
    </row>
    <row r="21" spans="1:12" x14ac:dyDescent="0.3">
      <c r="A21" s="7" t="s">
        <v>10</v>
      </c>
      <c r="B21" s="4">
        <v>1312.5</v>
      </c>
      <c r="C21" s="4">
        <v>4</v>
      </c>
    </row>
    <row r="22" spans="1:12" x14ac:dyDescent="0.3">
      <c r="A22" s="6" t="s">
        <v>13</v>
      </c>
      <c r="B22" s="4">
        <v>3270</v>
      </c>
      <c r="C22" s="4">
        <v>13</v>
      </c>
    </row>
    <row r="23" spans="1:12" x14ac:dyDescent="0.3">
      <c r="A23" s="7" t="s">
        <v>18</v>
      </c>
      <c r="B23" s="4">
        <v>180</v>
      </c>
      <c r="C23" s="4">
        <v>8</v>
      </c>
    </row>
    <row r="24" spans="1:12" x14ac:dyDescent="0.3">
      <c r="A24" s="7" t="s">
        <v>14</v>
      </c>
      <c r="B24" s="4">
        <v>810</v>
      </c>
      <c r="C24" s="4">
        <v>1</v>
      </c>
    </row>
    <row r="25" spans="1:12" x14ac:dyDescent="0.3">
      <c r="A25" s="7" t="s">
        <v>10</v>
      </c>
      <c r="B25" s="4">
        <v>2280</v>
      </c>
      <c r="C25" s="4">
        <v>4</v>
      </c>
    </row>
    <row r="26" spans="1:12" x14ac:dyDescent="0.3">
      <c r="A26" s="6" t="s">
        <v>20</v>
      </c>
      <c r="B26" s="4">
        <v>1600</v>
      </c>
      <c r="C26" s="4">
        <v>3</v>
      </c>
    </row>
    <row r="27" spans="1:12" x14ac:dyDescent="0.3">
      <c r="A27" s="7" t="s">
        <v>14</v>
      </c>
      <c r="B27" s="4">
        <v>1100</v>
      </c>
      <c r="C27" s="4">
        <v>1</v>
      </c>
    </row>
    <row r="28" spans="1:12" x14ac:dyDescent="0.3">
      <c r="A28" s="7" t="s">
        <v>10</v>
      </c>
      <c r="B28" s="4">
        <v>500</v>
      </c>
      <c r="C28" s="4">
        <v>2</v>
      </c>
    </row>
    <row r="29" spans="1:12" x14ac:dyDescent="0.3">
      <c r="A29" s="6" t="s">
        <v>29</v>
      </c>
      <c r="B29" s="4">
        <v>7902.5</v>
      </c>
      <c r="C29" s="4">
        <v>33</v>
      </c>
    </row>
    <row r="31" spans="1:12" x14ac:dyDescent="0.3">
      <c r="A31" t="s">
        <v>32</v>
      </c>
    </row>
    <row r="32" spans="1:12" ht="25.8" x14ac:dyDescent="0.5">
      <c r="A32" t="s">
        <v>33</v>
      </c>
      <c r="D32" s="8" t="s">
        <v>31</v>
      </c>
    </row>
    <row r="34" spans="1:5" ht="25.8" x14ac:dyDescent="0.5">
      <c r="A34" t="s">
        <v>34</v>
      </c>
      <c r="E34" s="8" t="s">
        <v>35</v>
      </c>
    </row>
  </sheetData>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0EB3AF1-DF39-4E92-8EBE-C32A5F5DB9E7}">
  <ds:schemaRefs>
    <ds:schemaRef ds:uri="http://schemas.microsoft.com/DataMashup"/>
  </ds:schemaRefs>
</ds:datastoreItem>
</file>

<file path=customXml/itemProps2.xml><?xml version="1.0" encoding="utf-8"?>
<ds:datastoreItem xmlns:ds="http://schemas.openxmlformats.org/officeDocument/2006/customXml" ds:itemID="{8ACB66D3-0A5D-4F11-B9C0-74CABD9941A2}">
  <ds:schemaRefs/>
</ds:datastoreItem>
</file>

<file path=customXml/itemProps3.xml><?xml version="1.0" encoding="utf-8"?>
<ds:datastoreItem xmlns:ds="http://schemas.openxmlformats.org/officeDocument/2006/customXml" ds:itemID="{24D59864-DA5F-4C8D-B87B-E272C445BC29}">
  <ds:schemaRefs/>
</ds:datastoreItem>
</file>

<file path=customXml/itemProps4.xml><?xml version="1.0" encoding="utf-8"?>
<ds:datastoreItem xmlns:ds="http://schemas.openxmlformats.org/officeDocument/2006/customXml" ds:itemID="{EDE9D68B-D5D3-42A1-A36E-594E3D949B15}">
  <ds:schemaRefs/>
</ds:datastoreItem>
</file>

<file path=customXml/itemProps5.xml><?xml version="1.0" encoding="utf-8"?>
<ds:datastoreItem xmlns:ds="http://schemas.openxmlformats.org/officeDocument/2006/customXml" ds:itemID="{BF84D82C-95C6-4FB4-96E0-A1102F324A7D}">
  <ds:schemaRefs/>
</ds:datastoreItem>
</file>

<file path=customXml/itemProps6.xml><?xml version="1.0" encoding="utf-8"?>
<ds:datastoreItem xmlns:ds="http://schemas.openxmlformats.org/officeDocument/2006/customXml" ds:itemID="{6CD8F3D5-3199-49B8-AF88-6C267F6AD50E}">
  <ds:schemaRefs/>
</ds:datastoreItem>
</file>

<file path=customXml/itemProps7.xml><?xml version="1.0" encoding="utf-8"?>
<ds:datastoreItem xmlns:ds="http://schemas.openxmlformats.org/officeDocument/2006/customXml" ds:itemID="{7948DA12-A11E-4012-B46C-760033EE4C67}">
  <ds:schemaRefs/>
</ds:datastoreItem>
</file>

<file path=customXml/itemProps8.xml><?xml version="1.0" encoding="utf-8"?>
<ds:datastoreItem xmlns:ds="http://schemas.openxmlformats.org/officeDocument/2006/customXml" ds:itemID="{F3ADF175-8A20-4E50-A660-39D314F8854F}">
  <ds:schemaRefs/>
</ds:datastoreItem>
</file>

<file path=customXml/itemProps9.xml><?xml version="1.0" encoding="utf-8"?>
<ds:datastoreItem xmlns:ds="http://schemas.openxmlformats.org/officeDocument/2006/customXml" ds:itemID="{7C220E8E-59F2-43B2-ACDD-7A6834860BCB}">
  <ds:schemaRefs/>
</ds:datastoreItem>
</file>

<file path=customXml/itemProps10.xml><?xml version="1.0" encoding="utf-8"?>
<ds:datastoreItem xmlns:ds="http://schemas.openxmlformats.org/officeDocument/2006/customXml" ds:itemID="{22BFF9C5-B112-4055-AB7F-CAC34F8B28BE}">
  <ds:schemaRefs/>
</ds:datastoreItem>
</file>

<file path=customXml/itemProps11.xml><?xml version="1.0" encoding="utf-8"?>
<ds:datastoreItem xmlns:ds="http://schemas.openxmlformats.org/officeDocument/2006/customXml" ds:itemID="{49E64C4D-762C-40BD-B672-FE4AE9BB0BED}">
  <ds:schemaRefs/>
</ds:datastoreItem>
</file>

<file path=customXml/itemProps12.xml><?xml version="1.0" encoding="utf-8"?>
<ds:datastoreItem xmlns:ds="http://schemas.openxmlformats.org/officeDocument/2006/customXml" ds:itemID="{028EC672-06B4-4298-8653-AC2869F9E48D}">
  <ds:schemaRefs/>
</ds:datastoreItem>
</file>

<file path=customXml/itemProps13.xml><?xml version="1.0" encoding="utf-8"?>
<ds:datastoreItem xmlns:ds="http://schemas.openxmlformats.org/officeDocument/2006/customXml" ds:itemID="{B620992C-6425-45A3-B5C4-51ED84B0F3CA}">
  <ds:schemaRefs/>
</ds:datastoreItem>
</file>

<file path=customXml/itemProps14.xml><?xml version="1.0" encoding="utf-8"?>
<ds:datastoreItem xmlns:ds="http://schemas.openxmlformats.org/officeDocument/2006/customXml" ds:itemID="{3E738DF4-522B-4808-B243-BE8D14FBAC50}">
  <ds:schemaRefs/>
</ds:datastoreItem>
</file>

<file path=customXml/itemProps15.xml><?xml version="1.0" encoding="utf-8"?>
<ds:datastoreItem xmlns:ds="http://schemas.openxmlformats.org/officeDocument/2006/customXml" ds:itemID="{CB73F8E0-AEF6-42C6-B52A-44070DE6B097}">
  <ds:schemaRefs/>
</ds:datastoreItem>
</file>

<file path=customXml/itemProps16.xml><?xml version="1.0" encoding="utf-8"?>
<ds:datastoreItem xmlns:ds="http://schemas.openxmlformats.org/officeDocument/2006/customXml" ds:itemID="{517D38A5-2A2A-4668-B02B-787D82D2CE6F}">
  <ds:schemaRefs/>
</ds:datastoreItem>
</file>

<file path=customXml/itemProps17.xml><?xml version="1.0" encoding="utf-8"?>
<ds:datastoreItem xmlns:ds="http://schemas.openxmlformats.org/officeDocument/2006/customXml" ds:itemID="{A400E159-653D-4D05-A550-86EDDBA817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Day1 - 26.03.2026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Adnaan</dc:creator>
  <cp:lastModifiedBy>Danish Adnaan</cp:lastModifiedBy>
  <dcterms:created xsi:type="dcterms:W3CDTF">2026-03-26T08:25:12Z</dcterms:created>
  <dcterms:modified xsi:type="dcterms:W3CDTF">2026-03-26T19:08:35Z</dcterms:modified>
</cp:coreProperties>
</file>